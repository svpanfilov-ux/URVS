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Panfilov\Downloads\"/>
    </mc:Choice>
  </mc:AlternateContent>
  <xr:revisionPtr revIDLastSave="0" documentId="8_{05DF45D7-07A9-4200-A080-AF23D5B143E5}" xr6:coauthVersionLast="47" xr6:coauthVersionMax="47" xr10:uidLastSave="{00000000-0000-0000-0000-000000000000}"/>
  <bookViews>
    <workbookView xWindow="-30828" yWindow="-10128" windowWidth="30936" windowHeight="16776" tabRatio="601" xr2:uid="{C5BBA4E5-8262-470D-9822-CB3CF85568E7}"/>
  </bookViews>
  <sheets>
    <sheet name="табель" sheetId="3" r:id="rId1"/>
    <sheet name="служебная записка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5" i="3" l="1"/>
  <c r="AM39" i="3"/>
  <c r="A38" i="3"/>
  <c r="AK18" i="3"/>
  <c r="AL18" i="3" s="1"/>
  <c r="AK25" i="3"/>
  <c r="AL25" i="3" s="1"/>
  <c r="AN25" i="3" s="1"/>
  <c r="AO28" i="3"/>
  <c r="A16" i="3"/>
  <c r="A17" i="3"/>
  <c r="A18" i="3"/>
  <c r="A19" i="3" s="1"/>
  <c r="A20" i="3" s="1"/>
  <c r="A21" i="3" s="1"/>
  <c r="A22" i="3" s="1"/>
  <c r="A23" i="3" s="1"/>
  <c r="A24" i="3" s="1"/>
  <c r="A25" i="3" s="1"/>
  <c r="A26" i="3" s="1"/>
  <c r="A30" i="3"/>
  <c r="A31" i="3" s="1"/>
  <c r="A32" i="3" s="1"/>
  <c r="A33" i="3" s="1"/>
  <c r="A34" i="3" s="1"/>
  <c r="A35" i="3" s="1"/>
  <c r="A36" i="3" s="1"/>
  <c r="A37" i="3" s="1"/>
  <c r="AK37" i="3"/>
  <c r="AL37" i="3" s="1"/>
  <c r="AN37" i="3" s="1"/>
  <c r="AK36" i="3"/>
  <c r="AL36" i="3" s="1"/>
  <c r="AK35" i="3"/>
  <c r="AL35" i="3" s="1"/>
  <c r="AK34" i="3"/>
  <c r="AL34" i="3" s="1"/>
  <c r="AN34" i="3" s="1"/>
  <c r="AK33" i="3"/>
  <c r="AL33" i="3" s="1"/>
  <c r="AK32" i="3"/>
  <c r="AL32" i="3" s="1"/>
  <c r="AN32" i="3" s="1"/>
  <c r="AK31" i="3"/>
  <c r="AL31" i="3"/>
  <c r="AN31" i="3" s="1"/>
  <c r="AK30" i="3"/>
  <c r="AL30" i="3" s="1"/>
  <c r="AN30" i="3" s="1"/>
  <c r="AK16" i="3"/>
  <c r="AL16" i="3" s="1"/>
  <c r="AK24" i="3"/>
  <c r="AL24" i="3" s="1"/>
  <c r="AK22" i="3"/>
  <c r="AL22" i="3" s="1"/>
  <c r="AN22" i="3" s="1"/>
  <c r="AK17" i="3"/>
  <c r="AL17" i="3" s="1"/>
  <c r="AN17" i="3" s="1"/>
  <c r="AK26" i="3"/>
  <c r="AL26" i="3" s="1"/>
  <c r="AN26" i="3" s="1"/>
  <c r="AK19" i="3"/>
  <c r="AL19" i="3" s="1"/>
  <c r="AN19" i="3" s="1"/>
  <c r="AK15" i="3"/>
  <c r="AK29" i="3"/>
  <c r="AL29" i="3" s="1"/>
  <c r="AK23" i="3"/>
  <c r="AL23" i="3"/>
  <c r="AN23" i="3" s="1"/>
  <c r="AK21" i="3"/>
  <c r="AL21" i="3" s="1"/>
  <c r="AN21" i="3" s="1"/>
  <c r="AK20" i="3"/>
  <c r="AL20" i="3" s="1"/>
  <c r="AN20" i="3" s="1"/>
  <c r="AO20" i="3" s="1"/>
  <c r="AL38" i="3" l="1"/>
  <c r="AK38" i="3"/>
  <c r="AK27" i="3"/>
  <c r="AN24" i="3"/>
  <c r="AO24" i="3" s="1"/>
  <c r="AO34" i="3"/>
  <c r="AO25" i="3"/>
  <c r="AN36" i="3"/>
  <c r="AO36" i="3" s="1"/>
  <c r="AO37" i="3"/>
  <c r="AO23" i="3"/>
  <c r="AO31" i="3"/>
  <c r="AN16" i="3"/>
  <c r="AO16" i="3" s="1"/>
  <c r="AO22" i="3"/>
  <c r="AN29" i="3"/>
  <c r="AN33" i="3"/>
  <c r="AO33" i="3" s="1"/>
  <c r="AN18" i="3"/>
  <c r="AO19" i="3"/>
  <c r="AO26" i="3"/>
  <c r="AO17" i="3"/>
  <c r="AO32" i="3"/>
  <c r="AO30" i="3"/>
  <c r="AN35" i="3"/>
  <c r="AO35" i="3" s="1"/>
  <c r="AO21" i="3"/>
  <c r="AO29" i="3" l="1"/>
  <c r="AN38" i="3"/>
  <c r="AK39" i="3"/>
  <c r="AN15" i="3"/>
  <c r="AL27" i="3"/>
  <c r="AL39" i="3" s="1"/>
  <c r="AO18" i="3"/>
  <c r="AO38" i="3" l="1"/>
  <c r="AO15" i="3"/>
  <c r="AN27" i="3"/>
  <c r="AN39" i="3" s="1"/>
  <c r="AO27" i="3" l="1"/>
  <c r="AO39" i="3" s="1"/>
</calcChain>
</file>

<file path=xl/sharedStrings.xml><?xml version="1.0" encoding="utf-8"?>
<sst xmlns="http://schemas.openxmlformats.org/spreadsheetml/2006/main" count="121" uniqueCount="67">
  <si>
    <t>число месяца</t>
  </si>
  <si>
    <t>Фаимилия, имя, отчество</t>
  </si>
  <si>
    <t>Должность</t>
  </si>
  <si>
    <t>№ п/п</t>
  </si>
  <si>
    <t>Наименование организации</t>
  </si>
  <si>
    <t>Наименование структурного</t>
  </si>
  <si>
    <t>подразделения</t>
  </si>
  <si>
    <t>Отчетный период</t>
  </si>
  <si>
    <t>с</t>
  </si>
  <si>
    <t>по</t>
  </si>
  <si>
    <t>Дата составления</t>
  </si>
  <si>
    <t>Номер док-та</t>
  </si>
  <si>
    <t>б/№</t>
  </si>
  <si>
    <t>Табель учета рабочего времени</t>
  </si>
  <si>
    <t>План</t>
  </si>
  <si>
    <t>Факт</t>
  </si>
  <si>
    <t>Оклад факт</t>
  </si>
  <si>
    <t>Аванс</t>
  </si>
  <si>
    <t>К выплате</t>
  </si>
  <si>
    <t>Уборщик</t>
  </si>
  <si>
    <t>Администратор</t>
  </si>
  <si>
    <t>Итого часов</t>
  </si>
  <si>
    <t>дворник</t>
  </si>
  <si>
    <t>Прачка</t>
  </si>
  <si>
    <t>Тракторист</t>
  </si>
  <si>
    <t>ПРЕМИИ</t>
  </si>
  <si>
    <t xml:space="preserve">Прошу выдать подотчётные денежные средства для выплаты аванса сотрудникам за месяц ____________   </t>
  </si>
  <si>
    <t xml:space="preserve">объект: </t>
  </si>
  <si>
    <r>
      <t xml:space="preserve">1. ВБД  сумма   42 000         </t>
    </r>
    <r>
      <rPr>
        <b/>
        <sz val="11"/>
        <color indexed="8"/>
        <rFont val="Arial"/>
        <family val="2"/>
        <charset val="204"/>
      </rPr>
      <t xml:space="preserve">         </t>
    </r>
  </si>
  <si>
    <t xml:space="preserve">2  .  </t>
  </si>
  <si>
    <t xml:space="preserve">3.                                                                                                             </t>
  </si>
  <si>
    <t xml:space="preserve">ИТОГО:    42 000  00 коп.  (Сорок   две тысячи рублей )     </t>
  </si>
  <si>
    <t xml:space="preserve"> </t>
  </si>
  <si>
    <t>Дата        .          .  20      г</t>
  </si>
  <si>
    <t>ООО "Кросс-Нева"</t>
  </si>
  <si>
    <t xml:space="preserve">от РГ </t>
  </si>
  <si>
    <t>Служебная записка</t>
  </si>
  <si>
    <t>ПРИЛОЖЕНИЕ 2</t>
  </si>
  <si>
    <t>подработка</t>
  </si>
  <si>
    <t>Итого</t>
  </si>
  <si>
    <t>Всего</t>
  </si>
  <si>
    <t>Табель за сентябрь  2025 г</t>
  </si>
  <si>
    <t>&lt;&lt;объект&gt;&gt;</t>
  </si>
  <si>
    <t>Б</t>
  </si>
  <si>
    <t>У</t>
  </si>
  <si>
    <t>О</t>
  </si>
  <si>
    <t>Смирнова Ирина Васильевна</t>
  </si>
  <si>
    <t>Сирик Надежда Леонидовна</t>
  </si>
  <si>
    <t>Малтыз Алла Сергеевна</t>
  </si>
  <si>
    <t>Богданова Светлана Владимировна</t>
  </si>
  <si>
    <t>Усачева Елена Геннадьевна</t>
  </si>
  <si>
    <t>Провоторов Олег Викторович</t>
  </si>
  <si>
    <t>Венгерова Елена Сергеевна</t>
  </si>
  <si>
    <t>Сергеева Светлана Константиновна</t>
  </si>
  <si>
    <t>Ушакова Ольга Васильевна</t>
  </si>
  <si>
    <t>Ширяева Александра Вячеславовна</t>
  </si>
  <si>
    <t>Лазаренко Мария Васильевна</t>
  </si>
  <si>
    <t>Борзин Заур Валерьевич</t>
  </si>
  <si>
    <t>Каломбо Маргарита Борисовна</t>
  </si>
  <si>
    <t>Вильданова Эльвира Рафисовна</t>
  </si>
  <si>
    <t>Макеева Ольга Владимировна</t>
  </si>
  <si>
    <t>Старыгина Надежда Леонидовна</t>
  </si>
  <si>
    <t>Павленко Ирина Григорьевна</t>
  </si>
  <si>
    <t>Кузьмина Ирина Николаевна</t>
  </si>
  <si>
    <t>Афоничев Николай Витальевич</t>
  </si>
  <si>
    <t>Лопухина Лидия Николаевна</t>
  </si>
  <si>
    <t>Ставка/оклад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</si>
</sst>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 Cyr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11"/>
      <color indexed="10"/>
      <name val="Arial Cyr"/>
      <charset val="204"/>
    </font>
    <font>
      <b/>
      <sz val="11"/>
      <name val="Calibri"/>
      <family val="2"/>
      <charset val="204"/>
    </font>
    <font>
      <b/>
      <sz val="12"/>
      <name val="Arial Cyr"/>
      <charset val="204"/>
    </font>
    <font>
      <sz val="12"/>
      <name val="Arial Cyr"/>
      <charset val="204"/>
    </font>
    <font>
      <b/>
      <sz val="12"/>
      <name val="Calibri"/>
      <family val="2"/>
      <charset val="204"/>
    </font>
    <font>
      <sz val="14"/>
      <name val="Calibri"/>
      <family val="2"/>
      <charset val="204"/>
    </font>
    <font>
      <b/>
      <sz val="11"/>
      <color indexed="8"/>
      <name val="Arial"/>
      <family val="2"/>
      <charset val="204"/>
    </font>
    <font>
      <sz val="12"/>
      <name val="Calibri"/>
      <family val="2"/>
      <charset val="204"/>
    </font>
    <font>
      <b/>
      <sz val="12"/>
      <color rgb="FF333333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4"/>
      <color rgb="FF365F91"/>
      <name val="Cambria"/>
      <family val="1"/>
      <charset val="204"/>
    </font>
    <font>
      <b/>
      <sz val="11"/>
      <color rgb="FFFF0000"/>
      <name val="Calibri"/>
      <family val="2"/>
      <charset val="204"/>
    </font>
    <font>
      <sz val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4" tint="0.79998168889431442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Border="0"/>
  </cellStyleXfs>
  <cellXfs count="91">
    <xf numFmtId="0" fontId="0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left"/>
    </xf>
    <xf numFmtId="0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horizontal="center"/>
    </xf>
    <xf numFmtId="0" fontId="2" fillId="0" borderId="1" xfId="0" applyNumberFormat="1" applyFont="1" applyFill="1" applyBorder="1" applyAlignment="1" applyProtection="1"/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left"/>
    </xf>
    <xf numFmtId="0" fontId="2" fillId="2" borderId="1" xfId="0" applyNumberFormat="1" applyFont="1" applyFill="1" applyBorder="1" applyAlignment="1" applyProtection="1"/>
    <xf numFmtId="0" fontId="2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/>
    </xf>
    <xf numFmtId="0" fontId="3" fillId="2" borderId="0" xfId="0" applyNumberFormat="1" applyFont="1" applyFill="1" applyAlignment="1" applyProtection="1"/>
    <xf numFmtId="0" fontId="2" fillId="3" borderId="0" xfId="0" applyNumberFormat="1" applyFont="1" applyFill="1" applyAlignment="1" applyProtection="1"/>
    <xf numFmtId="0" fontId="2" fillId="3" borderId="2" xfId="0" applyNumberFormat="1" applyFont="1" applyFill="1" applyBorder="1" applyAlignment="1" applyProtection="1"/>
    <xf numFmtId="0" fontId="4" fillId="2" borderId="3" xfId="0" applyNumberFormat="1" applyFont="1" applyFill="1" applyBorder="1" applyAlignment="1" applyProtection="1"/>
    <xf numFmtId="0" fontId="4" fillId="2" borderId="4" xfId="0" applyNumberFormat="1" applyFont="1" applyFill="1" applyBorder="1" applyAlignment="1" applyProtection="1"/>
    <xf numFmtId="0" fontId="4" fillId="0" borderId="4" xfId="0" applyNumberFormat="1" applyFont="1" applyFill="1" applyBorder="1" applyAlignment="1" applyProtection="1"/>
    <xf numFmtId="0" fontId="4" fillId="4" borderId="4" xfId="0" applyNumberFormat="1" applyFont="1" applyFill="1" applyBorder="1" applyAlignment="1" applyProtection="1"/>
    <xf numFmtId="0" fontId="4" fillId="0" borderId="5" xfId="0" applyNumberFormat="1" applyFont="1" applyFill="1" applyBorder="1" applyAlignment="1" applyProtection="1"/>
    <xf numFmtId="0" fontId="5" fillId="3" borderId="2" xfId="0" applyNumberFormat="1" applyFont="1" applyFill="1" applyBorder="1" applyAlignment="1" applyProtection="1">
      <alignment horizontal="center" wrapText="1"/>
    </xf>
    <xf numFmtId="0" fontId="6" fillId="5" borderId="2" xfId="0" applyNumberFormat="1" applyFont="1" applyFill="1" applyBorder="1" applyAlignment="1" applyProtection="1">
      <alignment horizontal="center"/>
    </xf>
    <xf numFmtId="0" fontId="6" fillId="2" borderId="2" xfId="0" applyNumberFormat="1" applyFont="1" applyFill="1" applyBorder="1" applyAlignment="1" applyProtection="1">
      <alignment horizontal="center"/>
    </xf>
    <xf numFmtId="0" fontId="6" fillId="5" borderId="2" xfId="0" applyNumberFormat="1" applyFont="1" applyFill="1" applyBorder="1" applyAlignment="1" applyProtection="1"/>
    <xf numFmtId="3" fontId="6" fillId="5" borderId="2" xfId="0" applyNumberFormat="1" applyFont="1" applyFill="1" applyBorder="1" applyAlignment="1" applyProtection="1"/>
    <xf numFmtId="3" fontId="5" fillId="3" borderId="2" xfId="0" applyNumberFormat="1" applyFont="1" applyFill="1" applyBorder="1" applyAlignment="1" applyProtection="1"/>
    <xf numFmtId="0" fontId="6" fillId="0" borderId="2" xfId="0" applyNumberFormat="1" applyFont="1" applyFill="1" applyBorder="1" applyAlignment="1" applyProtection="1"/>
    <xf numFmtId="0" fontId="6" fillId="3" borderId="2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/>
    </xf>
    <xf numFmtId="3" fontId="5" fillId="5" borderId="2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>
      <alignment horizontal="center"/>
    </xf>
    <xf numFmtId="0" fontId="6" fillId="6" borderId="2" xfId="0" applyNumberFormat="1" applyFont="1" applyFill="1" applyBorder="1" applyAlignment="1" applyProtection="1"/>
    <xf numFmtId="3" fontId="6" fillId="6" borderId="2" xfId="0" applyNumberFormat="1" applyFont="1" applyFill="1" applyBorder="1" applyAlignment="1" applyProtection="1"/>
    <xf numFmtId="3" fontId="5" fillId="7" borderId="2" xfId="0" applyNumberFormat="1" applyFont="1" applyFill="1" applyBorder="1" applyAlignment="1" applyProtection="1"/>
    <xf numFmtId="0" fontId="6" fillId="2" borderId="0" xfId="0" applyNumberFormat="1" applyFont="1" applyFill="1" applyAlignment="1" applyProtection="1"/>
    <xf numFmtId="0" fontId="6" fillId="0" borderId="0" xfId="0" applyNumberFormat="1" applyFont="1" applyFill="1" applyAlignment="1" applyProtection="1"/>
    <xf numFmtId="3" fontId="5" fillId="0" borderId="0" xfId="0" applyNumberFormat="1" applyFont="1" applyFill="1" applyAlignment="1" applyProtection="1"/>
    <xf numFmtId="0" fontId="7" fillId="0" borderId="6" xfId="0" applyNumberFormat="1" applyFont="1" applyFill="1" applyBorder="1" applyAlignment="1" applyProtection="1"/>
    <xf numFmtId="0" fontId="7" fillId="0" borderId="2" xfId="0" applyNumberFormat="1" applyFont="1" applyFill="1" applyBorder="1" applyAlignment="1" applyProtection="1"/>
    <xf numFmtId="0" fontId="7" fillId="2" borderId="2" xfId="0" applyNumberFormat="1" applyFont="1" applyFill="1" applyBorder="1" applyAlignment="1" applyProtection="1"/>
    <xf numFmtId="0" fontId="7" fillId="4" borderId="2" xfId="0" applyNumberFormat="1" applyFont="1" applyFill="1" applyBorder="1" applyAlignment="1" applyProtection="1"/>
    <xf numFmtId="0" fontId="7" fillId="0" borderId="7" xfId="0" applyNumberFormat="1" applyFont="1" applyFill="1" applyBorder="1" applyAlignment="1" applyProtection="1"/>
    <xf numFmtId="0" fontId="11" fillId="6" borderId="0" xfId="0" applyNumberFormat="1" applyFont="1" applyFill="1" applyAlignment="1" applyProtection="1">
      <alignment horizontal="center"/>
    </xf>
    <xf numFmtId="0" fontId="8" fillId="0" borderId="0" xfId="0" applyNumberFormat="1" applyFont="1" applyFill="1" applyAlignment="1" applyProtection="1">
      <alignment vertical="center"/>
    </xf>
    <xf numFmtId="0" fontId="12" fillId="0" borderId="0" xfId="0" applyNumberFormat="1" applyFont="1" applyFill="1" applyAlignment="1" applyProtection="1">
      <alignment vertical="center"/>
    </xf>
    <xf numFmtId="0" fontId="13" fillId="0" borderId="0" xfId="0" applyNumberFormat="1" applyFont="1" applyFill="1" applyAlignment="1" applyProtection="1">
      <alignment vertical="center"/>
    </xf>
    <xf numFmtId="0" fontId="10" fillId="0" borderId="0" xfId="0" applyNumberFormat="1" applyFont="1" applyFill="1" applyAlignment="1" applyProtection="1">
      <alignment vertical="center"/>
    </xf>
    <xf numFmtId="0" fontId="1" fillId="0" borderId="0" xfId="0" applyNumberFormat="1" applyFont="1" applyFill="1" applyAlignment="1" applyProtection="1"/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/>
    </xf>
    <xf numFmtId="0" fontId="1" fillId="0" borderId="8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 wrapText="1"/>
    </xf>
    <xf numFmtId="0" fontId="1" fillId="0" borderId="8" xfId="0" applyNumberFormat="1" applyFont="1" applyFill="1" applyBorder="1" applyAlignment="1" applyProtection="1">
      <alignment horizontal="center" wrapText="1"/>
    </xf>
    <xf numFmtId="0" fontId="2" fillId="0" borderId="0" xfId="0" applyNumberFormat="1" applyFont="1" applyFill="1" applyAlignment="1" applyProtection="1">
      <alignment horizontal="left"/>
    </xf>
    <xf numFmtId="14" fontId="2" fillId="0" borderId="5" xfId="0" applyNumberFormat="1" applyFont="1" applyFill="1" applyBorder="1" applyAlignment="1" applyProtection="1">
      <alignment horizontal="center" vertical="center" wrapText="1"/>
    </xf>
    <xf numFmtId="14" fontId="2" fillId="0" borderId="3" xfId="0" applyNumberFormat="1" applyFont="1" applyFill="1" applyBorder="1" applyAlignment="1" applyProtection="1">
      <alignment horizontal="center" vertical="center" wrapText="1"/>
    </xf>
    <xf numFmtId="14" fontId="2" fillId="0" borderId="12" xfId="0" applyNumberFormat="1" applyFont="1" applyFill="1" applyBorder="1" applyAlignment="1" applyProtection="1">
      <alignment horizontal="center" vertical="center" wrapText="1"/>
    </xf>
    <xf numFmtId="14" fontId="2" fillId="0" borderId="13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3" borderId="4" xfId="0" applyNumberFormat="1" applyFont="1" applyFill="1" applyBorder="1" applyAlignment="1" applyProtection="1">
      <alignment horizontal="center" vertical="center" wrapText="1"/>
    </xf>
    <xf numFmtId="0" fontId="1" fillId="3" borderId="1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center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1" fillId="2" borderId="16" xfId="0" applyNumberFormat="1" applyFont="1" applyFill="1" applyBorder="1" applyAlignment="1" applyProtection="1">
      <alignment horizontal="center" vertical="center" wrapText="1"/>
    </xf>
    <xf numFmtId="0" fontId="1" fillId="2" borderId="17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/>
    </xf>
    <xf numFmtId="0" fontId="2" fillId="0" borderId="11" xfId="0" applyNumberFormat="1" applyFont="1" applyFill="1" applyBorder="1" applyAlignment="1" applyProtection="1">
      <alignment horizontal="center"/>
    </xf>
    <xf numFmtId="0" fontId="2" fillId="0" borderId="6" xfId="0" applyNumberFormat="1" applyFont="1" applyFill="1" applyBorder="1" applyAlignment="1" applyProtection="1">
      <alignment horizontal="center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1" fillId="3" borderId="4" xfId="0" applyNumberFormat="1" applyFont="1" applyFill="1" applyBorder="1" applyAlignment="1" applyProtection="1">
      <alignment horizontal="center"/>
    </xf>
    <xf numFmtId="0" fontId="1" fillId="3" borderId="8" xfId="0" applyNumberFormat="1" applyFont="1" applyFill="1" applyBorder="1" applyAlignment="1" applyProtection="1">
      <alignment horizontal="center"/>
    </xf>
    <xf numFmtId="0" fontId="1" fillId="0" borderId="9" xfId="0" applyNumberFormat="1" applyFont="1" applyFill="1" applyBorder="1" applyAlignment="1" applyProtection="1">
      <alignment horizontal="center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2" fillId="3" borderId="10" xfId="0" applyNumberFormat="1" applyFont="1" applyFill="1" applyBorder="1" applyAlignment="1" applyProtection="1">
      <alignment horizontal="center" vertical="center" wrapText="1"/>
    </xf>
    <xf numFmtId="0" fontId="14" fillId="0" borderId="4" xfId="0" applyNumberFormat="1" applyFont="1" applyFill="1" applyBorder="1" applyAlignment="1" applyProtection="1"/>
    <xf numFmtId="0" fontId="14" fillId="2" borderId="4" xfId="0" applyNumberFormat="1" applyFont="1" applyFill="1" applyBorder="1" applyAlignment="1" applyProtection="1"/>
    <xf numFmtId="0" fontId="6" fillId="8" borderId="2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6" fillId="9" borderId="2" xfId="0" applyNumberFormat="1" applyFont="1" applyFill="1" applyBorder="1" applyAlignment="1" applyProtection="1">
      <alignment horizontal="center"/>
    </xf>
    <xf numFmtId="0" fontId="6" fillId="10" borderId="2" xfId="0" applyNumberFormat="1" applyFont="1" applyFill="1" applyBorder="1" applyAlignment="1" applyProtection="1">
      <alignment horizontal="center"/>
    </xf>
    <xf numFmtId="0" fontId="6" fillId="11" borderId="2" xfId="0" applyNumberFormat="1" applyFont="1" applyFill="1" applyBorder="1" applyAlignment="1" applyProtection="1">
      <alignment horizontal="center"/>
    </xf>
    <xf numFmtId="0" fontId="0" fillId="0" borderId="0" xfId="0"/>
    <xf numFmtId="0" fontId="1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B0F0"/>
      <rgbColor rgb="00FDFDCB"/>
      <rgbColor rgb="00C6EFCE"/>
      <rgbColor rgb="00FFC4CB"/>
      <rgbColor rgb="00FFE89C"/>
      <rgbColor rgb="00B2B2B2"/>
      <rgbColor rgb="00008000"/>
      <rgbColor rgb="00A4BFDD"/>
      <rgbColor rgb="00F59545"/>
      <rgbColor rgb="00800080"/>
      <rgbColor rgb="00A5A5A5"/>
      <rgbColor rgb="00C0C0C0"/>
      <rgbColor rgb="00808080"/>
      <rgbColor rgb="004AACC4"/>
      <rgbColor rgb="00F2F2F2"/>
      <rgbColor rgb="007D61A2"/>
      <rgbColor rgb="0098BB59"/>
      <rgbColor rgb="00FABD8D"/>
      <rgbColor rgb="0091CDDB"/>
      <rgbColor rgb="00C0504D"/>
      <rgbColor rgb="004F81BD"/>
      <rgbColor rgb="00B2A1C5"/>
      <rgbColor rgb="00C0D69B"/>
      <rgbColor rgb="0094B2D6"/>
      <rgbColor rgb="00FBD2B2"/>
      <rgbColor rgb="00D99594"/>
      <rgbColor rgb="00B5DCE7"/>
      <rgbColor rgb="00D4E3BC"/>
      <rgbColor rgb="00D9EEF2"/>
      <rgbColor rgb="00CCC0D9"/>
      <rgbColor rgb="00E5B7B6"/>
      <rgbColor rgb="00E8F1DD"/>
      <rgbColor rgb="00B8CCE4"/>
      <rgbColor rgb="00FDE9D9"/>
      <rgbColor rgb="00F2D9D9"/>
      <rgbColor rgb="00E5DFEC"/>
      <rgbColor rgb="00FFCC99"/>
      <rgbColor rgb="00D9E3F1"/>
      <rgbColor rgb="001D497C"/>
      <rgbColor rgb="001E497C"/>
      <rgbColor rgb="00006100"/>
      <rgbColor rgb="00FF9900"/>
      <rgbColor rgb="007F7F7F"/>
      <rgbColor rgb="009C0006"/>
      <rgbColor rgb="00FFFA00"/>
      <rgbColor rgb="008BCF4F"/>
      <rgbColor rgb="00FFF500"/>
      <rgbColor rgb="00D3E0F1"/>
      <rgbColor rgb="003F3F3F"/>
      <rgbColor rgb="00FF7900"/>
      <rgbColor rgb="008AA8D9"/>
      <rgbColor rgb="00A1B7E1"/>
      <rgbColor rgb="00416FC2"/>
    </indexed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5C36-9355-4F1F-9571-066FF57F61CE}">
  <sheetPr>
    <tabColor indexed="11"/>
    <pageSetUpPr fitToPage="1"/>
  </sheetPr>
  <dimension ref="A2:AS42"/>
  <sheetViews>
    <sheetView tabSelected="1" zoomScale="70" zoomScaleNormal="70" workbookViewId="0">
      <selection activeCell="D15" sqref="D15"/>
    </sheetView>
  </sheetViews>
  <sheetFormatPr defaultRowHeight="13.8" x14ac:dyDescent="0.25"/>
  <cols>
    <col min="1" max="1" width="3.6640625" style="3" customWidth="1"/>
    <col min="2" max="2" width="28.21875" style="6" customWidth="1"/>
    <col min="3" max="3" width="17.88671875" style="3" customWidth="1"/>
    <col min="4" max="4" width="12.88671875" style="3" customWidth="1"/>
    <col min="5" max="5" width="9.6640625" style="3" customWidth="1"/>
    <col min="6" max="6" width="7.77734375" style="3" customWidth="1"/>
    <col min="7" max="8" width="5.77734375" style="3" customWidth="1"/>
    <col min="9" max="9" width="5.77734375" style="6" customWidth="1"/>
    <col min="10" max="12" width="5.77734375" style="3" customWidth="1"/>
    <col min="13" max="13" width="5.77734375" style="6" customWidth="1"/>
    <col min="14" max="14" width="5.77734375" style="3" customWidth="1"/>
    <col min="15" max="15" width="5.77734375" style="6" customWidth="1"/>
    <col min="16" max="18" width="5.77734375" style="3" customWidth="1"/>
    <col min="19" max="19" width="5.77734375" style="6" customWidth="1"/>
    <col min="20" max="29" width="5.77734375" style="3" customWidth="1"/>
    <col min="30" max="30" width="5.33203125" style="3" customWidth="1"/>
    <col min="31" max="35" width="5.77734375" style="3" customWidth="1"/>
    <col min="36" max="36" width="6.109375" style="3" customWidth="1"/>
    <col min="37" max="37" width="7.33203125" style="3" customWidth="1"/>
    <col min="38" max="38" width="11.109375" style="3" customWidth="1"/>
    <col min="39" max="39" width="10.33203125" style="12" customWidth="1"/>
    <col min="40" max="40" width="12.88671875" style="3" customWidth="1"/>
    <col min="41" max="41" width="11.33203125" style="3" customWidth="1"/>
    <col min="42" max="42" width="13" style="3" customWidth="1"/>
    <col min="43" max="43" width="5.5546875" style="3" customWidth="1"/>
    <col min="44" max="44" width="5.6640625" style="3" customWidth="1"/>
    <col min="45" max="45" width="5.5546875" style="3" customWidth="1"/>
    <col min="46" max="16384" width="8.88671875" style="3"/>
  </cols>
  <sheetData>
    <row r="2" spans="1:45" x14ac:dyDescent="0.25">
      <c r="AL2" s="46" t="s">
        <v>37</v>
      </c>
    </row>
    <row r="4" spans="1:45" x14ac:dyDescent="0.25">
      <c r="A4" s="54" t="s">
        <v>4</v>
      </c>
      <c r="B4" s="54"/>
      <c r="C4" s="2"/>
      <c r="D4" s="62"/>
      <c r="E4" s="62"/>
      <c r="F4" s="62"/>
      <c r="G4" s="62"/>
      <c r="H4" s="62"/>
      <c r="I4" s="62"/>
      <c r="J4" s="62"/>
      <c r="K4" s="1"/>
      <c r="L4" s="1"/>
      <c r="M4" s="10"/>
      <c r="Q4" s="82" t="s">
        <v>13</v>
      </c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3"/>
      <c r="AM4" s="77" t="s">
        <v>11</v>
      </c>
      <c r="AN4" s="70" t="s">
        <v>10</v>
      </c>
      <c r="AO4" s="71"/>
      <c r="AP4" s="67" t="s">
        <v>7</v>
      </c>
      <c r="AQ4" s="68"/>
      <c r="AR4" s="68"/>
      <c r="AS4" s="69"/>
    </row>
    <row r="5" spans="1:45" x14ac:dyDescent="0.25"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3"/>
      <c r="AM5" s="78"/>
      <c r="AN5" s="72"/>
      <c r="AO5" s="73"/>
      <c r="AP5" s="67" t="s">
        <v>8</v>
      </c>
      <c r="AQ5" s="69"/>
      <c r="AR5" s="67" t="s">
        <v>9</v>
      </c>
      <c r="AS5" s="69"/>
    </row>
    <row r="6" spans="1:45" x14ac:dyDescent="0.25">
      <c r="A6" s="54" t="s">
        <v>5</v>
      </c>
      <c r="B6" s="54"/>
      <c r="C6" s="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3"/>
      <c r="AM6" s="60" t="s">
        <v>12</v>
      </c>
      <c r="AN6" s="55"/>
      <c r="AO6" s="56"/>
      <c r="AP6" s="55"/>
      <c r="AQ6" s="56"/>
      <c r="AR6" s="55"/>
      <c r="AS6" s="56"/>
    </row>
    <row r="7" spans="1:45" x14ac:dyDescent="0.25">
      <c r="A7" s="54" t="s">
        <v>6</v>
      </c>
      <c r="B7" s="54"/>
      <c r="C7" s="2"/>
      <c r="D7" s="76" t="s">
        <v>42</v>
      </c>
      <c r="E7" s="76"/>
      <c r="F7" s="76"/>
      <c r="G7" s="76"/>
      <c r="H7" s="1"/>
      <c r="I7" s="10"/>
      <c r="J7" s="1"/>
      <c r="K7" s="1"/>
      <c r="L7" s="1"/>
      <c r="M7" s="10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5"/>
      <c r="AM7" s="61"/>
      <c r="AN7" s="57"/>
      <c r="AO7" s="58"/>
      <c r="AP7" s="57"/>
      <c r="AQ7" s="58"/>
      <c r="AR7" s="57"/>
      <c r="AS7" s="58"/>
    </row>
    <row r="8" spans="1:45" x14ac:dyDescent="0.25">
      <c r="A8" s="2"/>
      <c r="B8" s="7"/>
      <c r="C8" s="2"/>
      <c r="D8" s="4"/>
      <c r="E8" s="4"/>
      <c r="F8" s="4"/>
      <c r="G8" s="4"/>
      <c r="H8" s="4"/>
      <c r="I8" s="9"/>
      <c r="J8" s="4"/>
      <c r="K8" s="4"/>
      <c r="L8" s="4"/>
      <c r="M8" s="9"/>
      <c r="N8" s="4"/>
      <c r="O8" s="9"/>
      <c r="P8" s="4"/>
      <c r="Q8" s="11"/>
      <c r="R8" s="11"/>
      <c r="S8" s="11"/>
    </row>
    <row r="9" spans="1:45" x14ac:dyDescent="0.25">
      <c r="A9" s="2"/>
      <c r="B9" s="7"/>
      <c r="C9" s="2"/>
      <c r="D9" s="4"/>
      <c r="E9" s="4"/>
      <c r="F9" s="4"/>
      <c r="G9" s="4"/>
      <c r="H9" s="4"/>
      <c r="I9" s="9"/>
      <c r="J9" s="4"/>
      <c r="K9" s="4"/>
      <c r="L9" s="4"/>
      <c r="M9" s="9"/>
      <c r="N9" s="4"/>
      <c r="O9" s="9"/>
      <c r="P9" s="4"/>
      <c r="Q9" s="62" t="s">
        <v>41</v>
      </c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</row>
    <row r="10" spans="1:45" x14ac:dyDescent="0.25">
      <c r="A10" s="2"/>
      <c r="B10" s="7"/>
      <c r="C10" s="2"/>
      <c r="D10" s="4"/>
      <c r="E10" s="4"/>
      <c r="F10" s="4"/>
      <c r="G10" s="4"/>
      <c r="H10" s="4"/>
      <c r="I10" s="9"/>
      <c r="J10" s="4"/>
      <c r="K10" s="4"/>
      <c r="L10" s="4"/>
      <c r="M10" s="9"/>
      <c r="N10" s="4"/>
      <c r="O10" s="9"/>
      <c r="P10" s="4"/>
      <c r="Q10" s="1"/>
      <c r="R10" s="1"/>
      <c r="S10" s="1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45" ht="14.4" thickBot="1" x14ac:dyDescent="0.3">
      <c r="A11" s="5"/>
      <c r="B11" s="8"/>
      <c r="C11" s="5"/>
      <c r="D11" s="5"/>
      <c r="AQ11" s="5"/>
      <c r="AR11" s="5"/>
      <c r="AS11" s="5"/>
    </row>
    <row r="12" spans="1:45" x14ac:dyDescent="0.25">
      <c r="A12" s="63" t="s">
        <v>3</v>
      </c>
      <c r="B12" s="65" t="s">
        <v>1</v>
      </c>
      <c r="C12" s="47" t="s">
        <v>2</v>
      </c>
      <c r="D12" s="47" t="s">
        <v>66</v>
      </c>
      <c r="E12" s="59" t="s">
        <v>0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1" t="s">
        <v>21</v>
      </c>
      <c r="AK12" s="51"/>
      <c r="AL12" s="52" t="s">
        <v>16</v>
      </c>
      <c r="AM12" s="74" t="s">
        <v>17</v>
      </c>
      <c r="AN12" s="49" t="s">
        <v>18</v>
      </c>
      <c r="AO12" s="49" t="s">
        <v>25</v>
      </c>
    </row>
    <row r="13" spans="1:45" s="34" customFormat="1" ht="15" customHeight="1" x14ac:dyDescent="0.3">
      <c r="A13" s="64"/>
      <c r="B13" s="66"/>
      <c r="C13" s="48"/>
      <c r="D13" s="48"/>
      <c r="E13" s="36"/>
      <c r="F13" s="37"/>
      <c r="G13" s="37"/>
      <c r="H13" s="37"/>
      <c r="I13" s="38"/>
      <c r="J13" s="37"/>
      <c r="K13" s="37"/>
      <c r="L13" s="37"/>
      <c r="M13" s="38"/>
      <c r="N13" s="37"/>
      <c r="O13" s="38"/>
      <c r="P13" s="37"/>
      <c r="Q13" s="37"/>
      <c r="R13" s="37"/>
      <c r="S13" s="3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40"/>
      <c r="AJ13" s="49" t="s">
        <v>14</v>
      </c>
      <c r="AK13" s="49" t="s">
        <v>15</v>
      </c>
      <c r="AL13" s="53"/>
      <c r="AM13" s="75"/>
      <c r="AN13" s="50"/>
      <c r="AO13" s="50"/>
    </row>
    <row r="14" spans="1:45" ht="13.5" customHeight="1" x14ac:dyDescent="0.3">
      <c r="A14" s="64"/>
      <c r="B14" s="66"/>
      <c r="C14" s="48"/>
      <c r="D14" s="48"/>
      <c r="E14" s="14">
        <v>1</v>
      </c>
      <c r="F14" s="15">
        <v>2</v>
      </c>
      <c r="G14" s="15">
        <v>3</v>
      </c>
      <c r="H14" s="15">
        <v>4</v>
      </c>
      <c r="I14" s="15">
        <v>5</v>
      </c>
      <c r="J14" s="79">
        <v>6</v>
      </c>
      <c r="K14" s="79">
        <v>7</v>
      </c>
      <c r="L14" s="16">
        <v>8</v>
      </c>
      <c r="M14" s="15">
        <v>9</v>
      </c>
      <c r="N14" s="16">
        <v>10</v>
      </c>
      <c r="O14" s="15">
        <v>11</v>
      </c>
      <c r="P14" s="16">
        <v>12</v>
      </c>
      <c r="Q14" s="79">
        <v>13</v>
      </c>
      <c r="R14" s="79">
        <v>14</v>
      </c>
      <c r="S14" s="17">
        <v>15</v>
      </c>
      <c r="T14" s="16">
        <v>16</v>
      </c>
      <c r="U14" s="16">
        <v>17</v>
      </c>
      <c r="V14" s="16">
        <v>18</v>
      </c>
      <c r="W14" s="16">
        <v>19</v>
      </c>
      <c r="X14" s="79">
        <v>20</v>
      </c>
      <c r="Y14" s="79">
        <v>21</v>
      </c>
      <c r="Z14" s="16">
        <v>22</v>
      </c>
      <c r="AA14" s="16">
        <v>23</v>
      </c>
      <c r="AB14" s="16">
        <v>24</v>
      </c>
      <c r="AC14" s="16">
        <v>25</v>
      </c>
      <c r="AD14" s="16">
        <v>26</v>
      </c>
      <c r="AE14" s="80">
        <v>27</v>
      </c>
      <c r="AF14" s="79">
        <v>28</v>
      </c>
      <c r="AG14" s="16">
        <v>29</v>
      </c>
      <c r="AH14" s="16">
        <v>30</v>
      </c>
      <c r="AI14" s="18">
        <v>31</v>
      </c>
      <c r="AJ14" s="50"/>
      <c r="AK14" s="50"/>
      <c r="AL14" s="53"/>
      <c r="AM14" s="75"/>
      <c r="AN14" s="50"/>
      <c r="AO14" s="50"/>
    </row>
    <row r="15" spans="1:45" ht="22.95" customHeight="1" x14ac:dyDescent="0.3">
      <c r="A15" s="13">
        <v>1</v>
      </c>
      <c r="B15" s="89" t="s">
        <v>46</v>
      </c>
      <c r="C15" s="20" t="s">
        <v>20</v>
      </c>
      <c r="D15" s="21">
        <v>50000</v>
      </c>
      <c r="E15" s="22">
        <v>8</v>
      </c>
      <c r="F15" s="22">
        <v>8</v>
      </c>
      <c r="G15" s="22">
        <v>8</v>
      </c>
      <c r="H15" s="22">
        <v>8</v>
      </c>
      <c r="I15" s="22">
        <v>8</v>
      </c>
      <c r="J15" s="22"/>
      <c r="K15" s="22"/>
      <c r="L15" s="22">
        <v>8</v>
      </c>
      <c r="M15" s="22">
        <v>8</v>
      </c>
      <c r="N15" s="22">
        <v>8</v>
      </c>
      <c r="O15" s="22">
        <v>8</v>
      </c>
      <c r="P15" s="22">
        <v>8</v>
      </c>
      <c r="Q15" s="22"/>
      <c r="R15" s="22"/>
      <c r="S15" s="81">
        <v>8</v>
      </c>
      <c r="T15" s="22">
        <v>8</v>
      </c>
      <c r="U15" s="22">
        <v>8</v>
      </c>
      <c r="V15" s="22">
        <v>8</v>
      </c>
      <c r="W15" s="22">
        <v>8</v>
      </c>
      <c r="X15" s="22"/>
      <c r="Y15" s="22"/>
      <c r="Z15" s="22">
        <v>8</v>
      </c>
      <c r="AA15" s="22">
        <v>8</v>
      </c>
      <c r="AB15" s="22">
        <v>8</v>
      </c>
      <c r="AC15" s="22">
        <v>8</v>
      </c>
      <c r="AD15" s="22">
        <v>8</v>
      </c>
      <c r="AE15" s="22"/>
      <c r="AF15" s="22"/>
      <c r="AG15" s="22">
        <v>8</v>
      </c>
      <c r="AH15" s="22">
        <v>8</v>
      </c>
      <c r="AI15" s="22">
        <v>8</v>
      </c>
      <c r="AJ15" s="22">
        <v>184</v>
      </c>
      <c r="AK15" s="23">
        <f>SUM(E15:AI15)</f>
        <v>184</v>
      </c>
      <c r="AL15" s="23">
        <f>D15</f>
        <v>50000</v>
      </c>
      <c r="AM15" s="24">
        <v>20000</v>
      </c>
      <c r="AN15" s="23">
        <f t="shared" ref="AN15:AN25" si="0">AL15-AM15</f>
        <v>30000</v>
      </c>
      <c r="AO15" s="23">
        <f>AL15-AM15-AN15</f>
        <v>0</v>
      </c>
      <c r="AP15" s="89"/>
    </row>
    <row r="16" spans="1:45" ht="22.95" customHeight="1" x14ac:dyDescent="0.3">
      <c r="A16" s="13">
        <f>A15+1</f>
        <v>2</v>
      </c>
      <c r="B16" s="89" t="s">
        <v>47</v>
      </c>
      <c r="C16" s="20" t="s">
        <v>19</v>
      </c>
      <c r="D16" s="21">
        <v>227.27</v>
      </c>
      <c r="E16" s="22">
        <v>11</v>
      </c>
      <c r="F16" s="22">
        <v>11</v>
      </c>
      <c r="G16" s="22"/>
      <c r="H16" s="22"/>
      <c r="I16" s="22">
        <v>11</v>
      </c>
      <c r="J16" s="22">
        <v>11</v>
      </c>
      <c r="K16" s="22"/>
      <c r="L16" s="22"/>
      <c r="M16" s="22">
        <v>11</v>
      </c>
      <c r="N16" s="22">
        <v>11</v>
      </c>
      <c r="O16" s="22"/>
      <c r="P16" s="22"/>
      <c r="Q16" s="22">
        <v>11</v>
      </c>
      <c r="R16" s="22">
        <v>11</v>
      </c>
      <c r="S16" s="81"/>
      <c r="T16" s="22"/>
      <c r="U16" s="22">
        <v>11</v>
      </c>
      <c r="V16" s="22">
        <v>11</v>
      </c>
      <c r="W16" s="22"/>
      <c r="X16" s="22"/>
      <c r="Y16" s="22">
        <v>11</v>
      </c>
      <c r="Z16" s="22">
        <v>11</v>
      </c>
      <c r="AA16" s="22"/>
      <c r="AB16" s="22"/>
      <c r="AC16" s="22">
        <v>11</v>
      </c>
      <c r="AD16" s="22">
        <v>11</v>
      </c>
      <c r="AE16" s="22"/>
      <c r="AF16" s="22"/>
      <c r="AG16" s="22">
        <v>11</v>
      </c>
      <c r="AH16" s="22">
        <v>11</v>
      </c>
      <c r="AI16" s="22"/>
      <c r="AJ16" s="22">
        <v>184</v>
      </c>
      <c r="AK16" s="23">
        <f>SUM(E16:AI16)</f>
        <v>176</v>
      </c>
      <c r="AL16" s="23">
        <f t="shared" ref="AL15:AL25" si="1">D16*AK16</f>
        <v>39999.520000000004</v>
      </c>
      <c r="AM16" s="24">
        <v>5000</v>
      </c>
      <c r="AN16" s="23">
        <f t="shared" si="0"/>
        <v>34999.520000000004</v>
      </c>
      <c r="AO16" s="23">
        <f t="shared" ref="AO16:AO26" si="2">AL16-AM16-AN16</f>
        <v>0</v>
      </c>
      <c r="AP16" s="89"/>
    </row>
    <row r="17" spans="1:42" s="6" customFormat="1" ht="22.95" customHeight="1" x14ac:dyDescent="0.3">
      <c r="A17" s="13">
        <f t="shared" ref="A17:A38" si="3">A16+1</f>
        <v>3</v>
      </c>
      <c r="B17" s="89" t="s">
        <v>48</v>
      </c>
      <c r="C17" s="26" t="s">
        <v>19</v>
      </c>
      <c r="D17" s="20">
        <v>227.27</v>
      </c>
      <c r="F17" s="22"/>
      <c r="G17" s="22">
        <v>11</v>
      </c>
      <c r="H17" s="22">
        <v>11</v>
      </c>
      <c r="I17" s="22"/>
      <c r="J17" s="22"/>
      <c r="K17" s="22">
        <v>11</v>
      </c>
      <c r="L17" s="22">
        <v>11</v>
      </c>
      <c r="M17" s="22"/>
      <c r="N17" s="22"/>
      <c r="O17" s="22">
        <v>11</v>
      </c>
      <c r="P17" s="22">
        <v>11</v>
      </c>
      <c r="Q17" s="22"/>
      <c r="R17" s="22"/>
      <c r="S17" s="81">
        <v>11</v>
      </c>
      <c r="T17" s="22">
        <v>11</v>
      </c>
      <c r="U17" s="22"/>
      <c r="V17" s="22"/>
      <c r="W17" s="22">
        <v>11</v>
      </c>
      <c r="X17" s="22">
        <v>11</v>
      </c>
      <c r="Y17" s="22"/>
      <c r="Z17" s="22"/>
      <c r="AA17" s="22">
        <v>11</v>
      </c>
      <c r="AB17" s="22">
        <v>11</v>
      </c>
      <c r="AC17" s="22"/>
      <c r="AD17" s="22"/>
      <c r="AE17" s="22">
        <v>11</v>
      </c>
      <c r="AF17" s="22">
        <v>11</v>
      </c>
      <c r="AG17" s="22"/>
      <c r="AH17" s="22"/>
      <c r="AI17" s="22">
        <v>11</v>
      </c>
      <c r="AJ17" s="22">
        <v>184</v>
      </c>
      <c r="AK17" s="23">
        <f>SUM(F17:AI17)</f>
        <v>165</v>
      </c>
      <c r="AL17" s="23">
        <f t="shared" si="1"/>
        <v>37499.550000000003</v>
      </c>
      <c r="AM17" s="24">
        <v>4000</v>
      </c>
      <c r="AN17" s="23">
        <f t="shared" si="0"/>
        <v>33499.550000000003</v>
      </c>
      <c r="AO17" s="23">
        <f t="shared" si="2"/>
        <v>0</v>
      </c>
      <c r="AP17" s="89"/>
    </row>
    <row r="18" spans="1:42" s="6" customFormat="1" ht="22.95" customHeight="1" x14ac:dyDescent="0.3">
      <c r="A18" s="13">
        <f t="shared" si="3"/>
        <v>4</v>
      </c>
      <c r="B18" s="89" t="s">
        <v>49</v>
      </c>
      <c r="C18" s="20" t="s">
        <v>22</v>
      </c>
      <c r="D18" s="21">
        <v>227.27</v>
      </c>
      <c r="E18" s="22">
        <v>11</v>
      </c>
      <c r="F18" s="22">
        <v>11</v>
      </c>
      <c r="G18" s="22"/>
      <c r="H18" s="22"/>
      <c r="I18" s="22">
        <v>11</v>
      </c>
      <c r="J18" s="22">
        <v>11</v>
      </c>
      <c r="K18" s="22"/>
      <c r="L18" s="22"/>
      <c r="M18" s="22">
        <v>11</v>
      </c>
      <c r="N18" s="22">
        <v>11</v>
      </c>
      <c r="O18" s="22"/>
      <c r="P18" s="22"/>
      <c r="Q18" s="22">
        <v>11</v>
      </c>
      <c r="R18" s="22">
        <v>11</v>
      </c>
      <c r="S18" s="88" t="s">
        <v>43</v>
      </c>
      <c r="T18" s="88" t="s">
        <v>43</v>
      </c>
      <c r="U18" s="88" t="s">
        <v>43</v>
      </c>
      <c r="V18" s="88" t="s">
        <v>43</v>
      </c>
      <c r="W18" s="88" t="s">
        <v>43</v>
      </c>
      <c r="X18" s="88" t="s">
        <v>43</v>
      </c>
      <c r="Y18" s="88" t="s">
        <v>43</v>
      </c>
      <c r="Z18" s="88" t="s">
        <v>43</v>
      </c>
      <c r="AA18" s="88" t="s">
        <v>43</v>
      </c>
      <c r="AB18" s="88" t="s">
        <v>43</v>
      </c>
      <c r="AC18" s="88" t="s">
        <v>43</v>
      </c>
      <c r="AD18" s="88" t="s">
        <v>43</v>
      </c>
      <c r="AE18" s="88" t="s">
        <v>43</v>
      </c>
      <c r="AF18" s="88" t="s">
        <v>43</v>
      </c>
      <c r="AG18" s="88" t="s">
        <v>43</v>
      </c>
      <c r="AH18" s="88" t="s">
        <v>43</v>
      </c>
      <c r="AI18" s="88" t="s">
        <v>43</v>
      </c>
      <c r="AJ18" s="22">
        <v>184</v>
      </c>
      <c r="AK18" s="23">
        <f>SUM(E18:AI18)</f>
        <v>88</v>
      </c>
      <c r="AL18" s="23">
        <f t="shared" si="1"/>
        <v>19999.760000000002</v>
      </c>
      <c r="AM18" s="24">
        <v>2000</v>
      </c>
      <c r="AN18" s="23">
        <f t="shared" si="0"/>
        <v>17999.760000000002</v>
      </c>
      <c r="AO18" s="23">
        <f t="shared" si="2"/>
        <v>0</v>
      </c>
      <c r="AP18" s="89"/>
    </row>
    <row r="19" spans="1:42" s="6" customFormat="1" ht="22.95" customHeight="1" x14ac:dyDescent="0.3">
      <c r="A19" s="13">
        <f t="shared" si="3"/>
        <v>5</v>
      </c>
      <c r="B19" s="89" t="s">
        <v>50</v>
      </c>
      <c r="C19" s="20" t="s">
        <v>22</v>
      </c>
      <c r="D19" s="21">
        <v>227.27</v>
      </c>
      <c r="F19" s="22"/>
      <c r="G19" s="22">
        <v>11</v>
      </c>
      <c r="H19" s="22">
        <v>11</v>
      </c>
      <c r="I19" s="22"/>
      <c r="J19" s="22"/>
      <c r="K19" s="22">
        <v>11</v>
      </c>
      <c r="L19" s="22">
        <v>11</v>
      </c>
      <c r="M19" s="22"/>
      <c r="N19" s="22"/>
      <c r="O19" s="22">
        <v>11</v>
      </c>
      <c r="P19" s="22">
        <v>11</v>
      </c>
      <c r="Q19" s="22"/>
      <c r="R19" s="22"/>
      <c r="S19" s="81">
        <v>11</v>
      </c>
      <c r="T19" s="22">
        <v>11</v>
      </c>
      <c r="U19" s="22"/>
      <c r="V19" s="22"/>
      <c r="W19" s="22">
        <v>11</v>
      </c>
      <c r="X19" s="22">
        <v>11</v>
      </c>
      <c r="Y19" s="22"/>
      <c r="Z19" s="22"/>
      <c r="AA19" s="22">
        <v>11</v>
      </c>
      <c r="AB19" s="22">
        <v>11</v>
      </c>
      <c r="AC19" s="22"/>
      <c r="AD19" s="22"/>
      <c r="AE19" s="22">
        <v>11</v>
      </c>
      <c r="AF19" s="22">
        <v>11</v>
      </c>
      <c r="AG19" s="22"/>
      <c r="AH19" s="22"/>
      <c r="AI19" s="22">
        <v>11</v>
      </c>
      <c r="AJ19" s="22">
        <v>184</v>
      </c>
      <c r="AK19" s="23">
        <f t="shared" ref="AK19:AK25" si="4">SUM(E19:AI19)</f>
        <v>165</v>
      </c>
      <c r="AL19" s="23">
        <f t="shared" si="1"/>
        <v>37499.550000000003</v>
      </c>
      <c r="AM19" s="24">
        <v>4000</v>
      </c>
      <c r="AN19" s="23">
        <f t="shared" si="0"/>
        <v>33499.550000000003</v>
      </c>
      <c r="AO19" s="23">
        <f t="shared" si="2"/>
        <v>0</v>
      </c>
      <c r="AP19" s="89"/>
    </row>
    <row r="20" spans="1:42" ht="22.95" customHeight="1" x14ac:dyDescent="0.3">
      <c r="A20" s="13">
        <f t="shared" si="3"/>
        <v>6</v>
      </c>
      <c r="B20" s="90" t="s">
        <v>51</v>
      </c>
      <c r="C20" s="20" t="s">
        <v>19</v>
      </c>
      <c r="D20" s="21">
        <v>227.27</v>
      </c>
      <c r="E20" s="22">
        <v>11</v>
      </c>
      <c r="F20" s="22">
        <v>11</v>
      </c>
      <c r="G20" s="22"/>
      <c r="H20" s="22"/>
      <c r="I20" s="22">
        <v>11</v>
      </c>
      <c r="J20" s="22">
        <v>11</v>
      </c>
      <c r="K20" s="22"/>
      <c r="L20" s="22"/>
      <c r="M20" s="22">
        <v>11</v>
      </c>
      <c r="N20" s="22">
        <v>11</v>
      </c>
      <c r="O20" s="22"/>
      <c r="P20" s="22"/>
      <c r="Q20" s="22">
        <v>11</v>
      </c>
      <c r="R20" s="22">
        <v>11</v>
      </c>
      <c r="S20" s="81"/>
      <c r="T20" s="22"/>
      <c r="U20" s="22">
        <v>11</v>
      </c>
      <c r="V20" s="22">
        <v>11</v>
      </c>
      <c r="W20" s="22"/>
      <c r="X20" s="22"/>
      <c r="Y20" s="22">
        <v>11</v>
      </c>
      <c r="Z20" s="22">
        <v>11</v>
      </c>
      <c r="AA20" s="22"/>
      <c r="AB20" s="22"/>
      <c r="AC20" s="22">
        <v>11</v>
      </c>
      <c r="AD20" s="22">
        <v>11</v>
      </c>
      <c r="AE20" s="22"/>
      <c r="AF20" s="22"/>
      <c r="AG20" s="22">
        <v>11</v>
      </c>
      <c r="AH20" s="22">
        <v>11</v>
      </c>
      <c r="AI20" s="22"/>
      <c r="AJ20" s="22">
        <v>184</v>
      </c>
      <c r="AK20" s="23">
        <f t="shared" si="4"/>
        <v>176</v>
      </c>
      <c r="AL20" s="23">
        <f t="shared" si="1"/>
        <v>39999.520000000004</v>
      </c>
      <c r="AM20" s="24">
        <v>4000</v>
      </c>
      <c r="AN20" s="23">
        <f t="shared" si="0"/>
        <v>35999.520000000004</v>
      </c>
      <c r="AO20" s="23">
        <f t="shared" si="2"/>
        <v>0</v>
      </c>
      <c r="AP20" s="90"/>
    </row>
    <row r="21" spans="1:42" ht="22.95" customHeight="1" x14ac:dyDescent="0.3">
      <c r="A21" s="13">
        <f t="shared" si="3"/>
        <v>7</v>
      </c>
      <c r="B21" s="89" t="s">
        <v>52</v>
      </c>
      <c r="C21" s="20" t="s">
        <v>19</v>
      </c>
      <c r="D21" s="21">
        <v>227.27</v>
      </c>
      <c r="E21" s="6"/>
      <c r="F21" s="22"/>
      <c r="G21" s="22">
        <v>11</v>
      </c>
      <c r="H21" s="22">
        <v>11</v>
      </c>
      <c r="I21" s="22"/>
      <c r="J21" s="22"/>
      <c r="K21" s="22">
        <v>11</v>
      </c>
      <c r="L21" s="22">
        <v>11</v>
      </c>
      <c r="M21" s="22"/>
      <c r="N21" s="22"/>
      <c r="O21" s="22">
        <v>11</v>
      </c>
      <c r="P21" s="22">
        <v>11</v>
      </c>
      <c r="Q21" s="22"/>
      <c r="R21" s="22"/>
      <c r="S21" s="81">
        <v>11</v>
      </c>
      <c r="T21" s="22">
        <v>11</v>
      </c>
      <c r="U21" s="22"/>
      <c r="V21" s="22"/>
      <c r="W21" s="22">
        <v>11</v>
      </c>
      <c r="X21" s="22">
        <v>11</v>
      </c>
      <c r="Y21" s="22"/>
      <c r="Z21" s="22"/>
      <c r="AA21" s="22">
        <v>11</v>
      </c>
      <c r="AB21" s="22">
        <v>11</v>
      </c>
      <c r="AC21" s="22"/>
      <c r="AD21" s="22"/>
      <c r="AE21" s="22">
        <v>11</v>
      </c>
      <c r="AF21" s="22">
        <v>11</v>
      </c>
      <c r="AG21" s="22"/>
      <c r="AH21" s="22"/>
      <c r="AI21" s="22">
        <v>11</v>
      </c>
      <c r="AJ21" s="22">
        <v>184</v>
      </c>
      <c r="AK21" s="23">
        <f t="shared" si="4"/>
        <v>165</v>
      </c>
      <c r="AL21" s="23">
        <f t="shared" si="1"/>
        <v>37499.550000000003</v>
      </c>
      <c r="AM21" s="24">
        <v>4000</v>
      </c>
      <c r="AN21" s="23">
        <f t="shared" si="0"/>
        <v>33499.550000000003</v>
      </c>
      <c r="AO21" s="23">
        <f t="shared" si="2"/>
        <v>0</v>
      </c>
      <c r="AP21" s="89"/>
    </row>
    <row r="22" spans="1:42" ht="22.95" customHeight="1" x14ac:dyDescent="0.3">
      <c r="A22" s="13">
        <f t="shared" si="3"/>
        <v>8</v>
      </c>
      <c r="B22" s="89" t="s">
        <v>53</v>
      </c>
      <c r="C22" s="20" t="s">
        <v>19</v>
      </c>
      <c r="D22" s="21">
        <v>227.27</v>
      </c>
      <c r="E22" s="22">
        <v>11</v>
      </c>
      <c r="F22" s="22">
        <v>11</v>
      </c>
      <c r="G22" s="22"/>
      <c r="H22" s="22"/>
      <c r="I22" s="22">
        <v>11</v>
      </c>
      <c r="J22" s="22">
        <v>11</v>
      </c>
      <c r="K22" s="22"/>
      <c r="L22" s="22"/>
      <c r="M22" s="22">
        <v>11</v>
      </c>
      <c r="N22" s="22">
        <v>11</v>
      </c>
      <c r="O22" s="22"/>
      <c r="P22" s="22"/>
      <c r="Q22" s="22">
        <v>11</v>
      </c>
      <c r="R22" s="22">
        <v>11</v>
      </c>
      <c r="S22" s="81"/>
      <c r="T22" s="22"/>
      <c r="U22" s="22">
        <v>11</v>
      </c>
      <c r="V22" s="22">
        <v>11</v>
      </c>
      <c r="W22" s="22"/>
      <c r="X22" s="22"/>
      <c r="Y22" s="22">
        <v>11</v>
      </c>
      <c r="Z22" s="22">
        <v>11</v>
      </c>
      <c r="AA22" s="22"/>
      <c r="AB22" s="22"/>
      <c r="AC22" s="22">
        <v>11</v>
      </c>
      <c r="AD22" s="22">
        <v>11</v>
      </c>
      <c r="AE22" s="22"/>
      <c r="AF22" s="22"/>
      <c r="AG22" s="22">
        <v>11</v>
      </c>
      <c r="AH22" s="22">
        <v>11</v>
      </c>
      <c r="AI22" s="22"/>
      <c r="AJ22" s="22">
        <v>184</v>
      </c>
      <c r="AK22" s="23">
        <f t="shared" si="4"/>
        <v>176</v>
      </c>
      <c r="AL22" s="23">
        <f t="shared" si="1"/>
        <v>39999.520000000004</v>
      </c>
      <c r="AM22" s="24">
        <v>4000</v>
      </c>
      <c r="AN22" s="23">
        <f t="shared" si="0"/>
        <v>35999.520000000004</v>
      </c>
      <c r="AO22" s="23">
        <f t="shared" si="2"/>
        <v>0</v>
      </c>
      <c r="AP22" s="89"/>
    </row>
    <row r="23" spans="1:42" ht="22.95" customHeight="1" x14ac:dyDescent="0.3">
      <c r="A23" s="13">
        <f t="shared" si="3"/>
        <v>9</v>
      </c>
      <c r="B23" s="89" t="s">
        <v>54</v>
      </c>
      <c r="C23" s="20" t="s">
        <v>19</v>
      </c>
      <c r="D23" s="21">
        <v>227.27</v>
      </c>
      <c r="E23" s="6"/>
      <c r="F23" s="22"/>
      <c r="G23" s="22">
        <v>11</v>
      </c>
      <c r="H23" s="22">
        <v>11</v>
      </c>
      <c r="I23" s="22"/>
      <c r="J23" s="22"/>
      <c r="K23" s="22">
        <v>11</v>
      </c>
      <c r="L23" s="22">
        <v>11</v>
      </c>
      <c r="M23" s="22"/>
      <c r="N23" s="22"/>
      <c r="O23" s="22">
        <v>11</v>
      </c>
      <c r="P23" s="22">
        <v>11</v>
      </c>
      <c r="Q23" s="22"/>
      <c r="R23" s="22"/>
      <c r="S23" s="81">
        <v>11</v>
      </c>
      <c r="T23" s="22">
        <v>11</v>
      </c>
      <c r="U23" s="22"/>
      <c r="V23" s="22"/>
      <c r="W23" s="22">
        <v>11</v>
      </c>
      <c r="X23" s="22">
        <v>11</v>
      </c>
      <c r="Y23" s="22"/>
      <c r="Z23" s="22"/>
      <c r="AA23" s="22">
        <v>11</v>
      </c>
      <c r="AB23" s="22">
        <v>11</v>
      </c>
      <c r="AC23" s="22"/>
      <c r="AD23" s="22"/>
      <c r="AE23" s="22">
        <v>11</v>
      </c>
      <c r="AF23" s="22">
        <v>11</v>
      </c>
      <c r="AG23" s="22"/>
      <c r="AH23" s="22"/>
      <c r="AI23" s="22">
        <v>11</v>
      </c>
      <c r="AJ23" s="22">
        <v>184</v>
      </c>
      <c r="AK23" s="23">
        <f t="shared" si="4"/>
        <v>165</v>
      </c>
      <c r="AL23" s="23">
        <f t="shared" si="1"/>
        <v>37499.550000000003</v>
      </c>
      <c r="AM23" s="24">
        <v>4000</v>
      </c>
      <c r="AN23" s="23">
        <f t="shared" si="0"/>
        <v>33499.550000000003</v>
      </c>
      <c r="AO23" s="23">
        <f t="shared" si="2"/>
        <v>0</v>
      </c>
      <c r="AP23" s="89"/>
    </row>
    <row r="24" spans="1:42" ht="22.95" customHeight="1" x14ac:dyDescent="0.3">
      <c r="A24" s="13">
        <f t="shared" si="3"/>
        <v>10</v>
      </c>
      <c r="B24" s="89" t="s">
        <v>55</v>
      </c>
      <c r="C24" s="20" t="s">
        <v>19</v>
      </c>
      <c r="D24" s="21">
        <v>227.27</v>
      </c>
      <c r="E24" s="22">
        <v>11</v>
      </c>
      <c r="F24" s="22">
        <v>11</v>
      </c>
      <c r="G24" s="22"/>
      <c r="H24" s="22"/>
      <c r="I24" s="22">
        <v>11</v>
      </c>
      <c r="J24" s="22">
        <v>11</v>
      </c>
      <c r="K24" s="22"/>
      <c r="L24" s="22"/>
      <c r="M24" s="22">
        <v>11</v>
      </c>
      <c r="N24" s="22">
        <v>11</v>
      </c>
      <c r="O24" s="22"/>
      <c r="P24" s="22"/>
      <c r="Q24" s="22">
        <v>11</v>
      </c>
      <c r="R24" s="22">
        <v>11</v>
      </c>
      <c r="S24" s="81"/>
      <c r="T24" s="22"/>
      <c r="U24" s="22">
        <v>11</v>
      </c>
      <c r="V24" s="22">
        <v>11</v>
      </c>
      <c r="W24" s="22"/>
      <c r="X24" s="22"/>
      <c r="Y24" s="22">
        <v>11</v>
      </c>
      <c r="Z24" s="22">
        <v>11</v>
      </c>
      <c r="AA24" s="22"/>
      <c r="AB24" s="22"/>
      <c r="AC24" s="22">
        <v>11</v>
      </c>
      <c r="AD24" s="22">
        <v>11</v>
      </c>
      <c r="AE24" s="22"/>
      <c r="AF24" s="22"/>
      <c r="AG24" s="22">
        <v>11</v>
      </c>
      <c r="AH24" s="22">
        <v>11</v>
      </c>
      <c r="AI24" s="22"/>
      <c r="AJ24" s="22">
        <v>184</v>
      </c>
      <c r="AK24" s="23">
        <f t="shared" si="4"/>
        <v>176</v>
      </c>
      <c r="AL24" s="23">
        <f t="shared" si="1"/>
        <v>39999.520000000004</v>
      </c>
      <c r="AM24" s="24">
        <v>4000</v>
      </c>
      <c r="AN24" s="23">
        <f t="shared" si="0"/>
        <v>35999.520000000004</v>
      </c>
      <c r="AO24" s="23">
        <f t="shared" si="2"/>
        <v>0</v>
      </c>
      <c r="AP24" s="89"/>
    </row>
    <row r="25" spans="1:42" ht="22.95" customHeight="1" x14ac:dyDescent="0.3">
      <c r="A25" s="13">
        <f t="shared" si="3"/>
        <v>11</v>
      </c>
      <c r="B25" s="89" t="s">
        <v>56</v>
      </c>
      <c r="C25" s="20" t="s">
        <v>22</v>
      </c>
      <c r="D25" s="21">
        <v>227.27</v>
      </c>
      <c r="E25" s="6"/>
      <c r="F25" s="22"/>
      <c r="G25" s="22">
        <v>11</v>
      </c>
      <c r="H25" s="22">
        <v>11</v>
      </c>
      <c r="I25" s="22"/>
      <c r="J25" s="22"/>
      <c r="K25" s="22">
        <v>11</v>
      </c>
      <c r="L25" s="22">
        <v>11</v>
      </c>
      <c r="M25" s="22"/>
      <c r="N25" s="22"/>
      <c r="O25" s="22">
        <v>11</v>
      </c>
      <c r="P25" s="22">
        <v>11</v>
      </c>
      <c r="Q25" s="22"/>
      <c r="R25" s="22"/>
      <c r="S25" s="81">
        <v>11</v>
      </c>
      <c r="T25" s="22">
        <v>11</v>
      </c>
      <c r="U25" s="22"/>
      <c r="V25" s="22"/>
      <c r="W25" s="22">
        <v>11</v>
      </c>
      <c r="X25" s="22">
        <v>11</v>
      </c>
      <c r="Y25" s="22"/>
      <c r="Z25" s="22"/>
      <c r="AA25" s="22">
        <v>11</v>
      </c>
      <c r="AB25" s="22">
        <v>11</v>
      </c>
      <c r="AC25" s="22"/>
      <c r="AD25" s="22"/>
      <c r="AE25" s="22">
        <v>11</v>
      </c>
      <c r="AF25" s="22">
        <v>11</v>
      </c>
      <c r="AG25" s="22"/>
      <c r="AH25" s="22"/>
      <c r="AI25" s="22">
        <v>11</v>
      </c>
      <c r="AJ25" s="22">
        <v>184</v>
      </c>
      <c r="AK25" s="23">
        <f t="shared" si="4"/>
        <v>165</v>
      </c>
      <c r="AL25" s="23">
        <f t="shared" si="1"/>
        <v>37499.550000000003</v>
      </c>
      <c r="AM25" s="24">
        <v>4000</v>
      </c>
      <c r="AN25" s="23">
        <f t="shared" si="0"/>
        <v>33499.550000000003</v>
      </c>
      <c r="AO25" s="23">
        <f t="shared" si="2"/>
        <v>0</v>
      </c>
      <c r="AP25" s="89"/>
    </row>
    <row r="26" spans="1:42" ht="22.95" customHeight="1" x14ac:dyDescent="0.3">
      <c r="A26" s="13">
        <f t="shared" si="3"/>
        <v>12</v>
      </c>
      <c r="B26" s="89" t="s">
        <v>51</v>
      </c>
      <c r="C26" s="21" t="s">
        <v>24</v>
      </c>
      <c r="D26" s="21">
        <v>227.27</v>
      </c>
      <c r="E26" s="22">
        <v>11</v>
      </c>
      <c r="F26" s="22">
        <v>11</v>
      </c>
      <c r="G26" s="22"/>
      <c r="H26" s="22"/>
      <c r="I26" s="22">
        <v>11</v>
      </c>
      <c r="J26" s="22">
        <v>11</v>
      </c>
      <c r="K26" s="22"/>
      <c r="L26" s="22"/>
      <c r="M26" s="22">
        <v>11</v>
      </c>
      <c r="N26" s="22">
        <v>11</v>
      </c>
      <c r="O26" s="22"/>
      <c r="P26" s="22"/>
      <c r="Q26" s="22">
        <v>11</v>
      </c>
      <c r="R26" s="22">
        <v>11</v>
      </c>
      <c r="S26" s="81"/>
      <c r="T26" s="87" t="s">
        <v>44</v>
      </c>
      <c r="U26" s="87" t="s">
        <v>44</v>
      </c>
      <c r="V26" s="87" t="s">
        <v>44</v>
      </c>
      <c r="W26" s="87" t="s">
        <v>44</v>
      </c>
      <c r="X26" s="87" t="s">
        <v>44</v>
      </c>
      <c r="Y26" s="87" t="s">
        <v>44</v>
      </c>
      <c r="Z26" s="87" t="s">
        <v>44</v>
      </c>
      <c r="AA26" s="87" t="s">
        <v>44</v>
      </c>
      <c r="AB26" s="87" t="s">
        <v>44</v>
      </c>
      <c r="AC26" s="87" t="s">
        <v>44</v>
      </c>
      <c r="AD26" s="87" t="s">
        <v>44</v>
      </c>
      <c r="AE26" s="87" t="s">
        <v>44</v>
      </c>
      <c r="AF26" s="87" t="s">
        <v>44</v>
      </c>
      <c r="AG26" s="87" t="s">
        <v>44</v>
      </c>
      <c r="AH26" s="87" t="s">
        <v>44</v>
      </c>
      <c r="AI26" s="87" t="s">
        <v>44</v>
      </c>
      <c r="AJ26" s="22">
        <v>184</v>
      </c>
      <c r="AK26" s="23">
        <f t="shared" ref="AK26" si="5">SUM(E26:AI26)</f>
        <v>88</v>
      </c>
      <c r="AL26" s="23">
        <f t="shared" ref="AL26" si="6">D26*AK26</f>
        <v>19999.760000000002</v>
      </c>
      <c r="AM26" s="24">
        <v>4000</v>
      </c>
      <c r="AN26" s="23">
        <f t="shared" ref="AN26" si="7">AL26-AM26</f>
        <v>15999.760000000002</v>
      </c>
      <c r="AO26" s="23">
        <f t="shared" si="2"/>
        <v>0</v>
      </c>
      <c r="AP26" s="89"/>
    </row>
    <row r="27" spans="1:42" ht="22.95" customHeight="1" x14ac:dyDescent="0.3">
      <c r="A27" s="13"/>
      <c r="B27" s="19"/>
      <c r="C27" s="27"/>
      <c r="D27" s="27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81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39</v>
      </c>
      <c r="AJ27" s="25"/>
      <c r="AK27" s="28">
        <f>SUM(AK15:AK26)</f>
        <v>1889</v>
      </c>
      <c r="AL27" s="28">
        <f>SUM(AL15:AL26)</f>
        <v>437495.35000000003</v>
      </c>
      <c r="AM27" s="28"/>
      <c r="AN27" s="28">
        <f>SUM(AN15:AN26)</f>
        <v>374495.35000000003</v>
      </c>
      <c r="AO27" s="23">
        <f t="shared" ref="AO27:AO37" si="8">AL27-AM27-AN27</f>
        <v>63000</v>
      </c>
      <c r="AP27" s="89"/>
    </row>
    <row r="28" spans="1:42" ht="22.95" customHeight="1" x14ac:dyDescent="0.3">
      <c r="A28" s="13"/>
      <c r="B28" s="41" t="s">
        <v>38</v>
      </c>
      <c r="C28" s="29"/>
      <c r="D28" s="29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81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1"/>
      <c r="AM28" s="32"/>
      <c r="AN28" s="31"/>
      <c r="AO28" s="31">
        <f t="shared" si="8"/>
        <v>0</v>
      </c>
      <c r="AP28" s="89"/>
    </row>
    <row r="29" spans="1:42" ht="22.95" customHeight="1" x14ac:dyDescent="0.3">
      <c r="A29" s="13">
        <v>1</v>
      </c>
      <c r="B29" s="89" t="s">
        <v>57</v>
      </c>
      <c r="C29" s="20" t="s">
        <v>23</v>
      </c>
      <c r="D29" s="21">
        <v>227.27</v>
      </c>
      <c r="E29" s="22">
        <v>11</v>
      </c>
      <c r="F29" s="22">
        <v>11</v>
      </c>
      <c r="G29" s="22"/>
      <c r="H29" s="22"/>
      <c r="I29" s="22">
        <v>11</v>
      </c>
      <c r="J29" s="22">
        <v>11</v>
      </c>
      <c r="K29" s="22"/>
      <c r="L29" s="22"/>
      <c r="M29" s="22">
        <v>11</v>
      </c>
      <c r="N29" s="22">
        <v>11</v>
      </c>
      <c r="O29" s="22"/>
      <c r="P29" s="22"/>
      <c r="Q29" s="22">
        <v>11</v>
      </c>
      <c r="R29" s="22">
        <v>11</v>
      </c>
      <c r="S29" s="81"/>
      <c r="T29" s="22"/>
      <c r="U29" s="22">
        <v>11</v>
      </c>
      <c r="V29" s="22">
        <v>11</v>
      </c>
      <c r="W29" s="22"/>
      <c r="X29" s="22"/>
      <c r="Y29" s="22">
        <v>11</v>
      </c>
      <c r="Z29" s="22">
        <v>11</v>
      </c>
      <c r="AA29" s="22"/>
      <c r="AB29" s="22"/>
      <c r="AC29" s="22">
        <v>11</v>
      </c>
      <c r="AD29" s="22">
        <v>11</v>
      </c>
      <c r="AE29" s="22"/>
      <c r="AF29" s="22"/>
      <c r="AG29" s="22">
        <v>11</v>
      </c>
      <c r="AH29" s="22">
        <v>11</v>
      </c>
      <c r="AI29" s="22"/>
      <c r="AJ29" s="22">
        <v>184</v>
      </c>
      <c r="AK29" s="22">
        <f>SUM(E29:AI29)</f>
        <v>176</v>
      </c>
      <c r="AL29" s="23">
        <f>D29*AK29</f>
        <v>39999.520000000004</v>
      </c>
      <c r="AM29" s="24">
        <v>5000</v>
      </c>
      <c r="AN29" s="23">
        <f>AL29-AM29</f>
        <v>34999.520000000004</v>
      </c>
      <c r="AO29" s="23">
        <f t="shared" si="8"/>
        <v>0</v>
      </c>
      <c r="AP29" s="89"/>
    </row>
    <row r="30" spans="1:42" ht="22.95" customHeight="1" x14ac:dyDescent="0.3">
      <c r="A30" s="13">
        <f t="shared" si="3"/>
        <v>2</v>
      </c>
      <c r="B30" s="89" t="s">
        <v>58</v>
      </c>
      <c r="C30" s="20" t="s">
        <v>23</v>
      </c>
      <c r="D30" s="21">
        <v>227.27</v>
      </c>
      <c r="E30" s="6"/>
      <c r="F30" s="22"/>
      <c r="G30" s="22">
        <v>11</v>
      </c>
      <c r="H30" s="22">
        <v>11</v>
      </c>
      <c r="I30" s="22"/>
      <c r="J30" s="22"/>
      <c r="K30" s="22">
        <v>11</v>
      </c>
      <c r="L30" s="22">
        <v>11</v>
      </c>
      <c r="M30" s="22"/>
      <c r="N30" s="22"/>
      <c r="O30" s="22">
        <v>11</v>
      </c>
      <c r="P30" s="22">
        <v>11</v>
      </c>
      <c r="Q30" s="22"/>
      <c r="R30" s="22"/>
      <c r="S30" s="81">
        <v>11</v>
      </c>
      <c r="T30" s="22">
        <v>11</v>
      </c>
      <c r="U30" s="22"/>
      <c r="V30" s="22"/>
      <c r="W30" s="22">
        <v>11</v>
      </c>
      <c r="X30" s="22">
        <v>11</v>
      </c>
      <c r="Y30" s="22"/>
      <c r="Z30" s="22"/>
      <c r="AA30" s="22">
        <v>11</v>
      </c>
      <c r="AB30" s="22">
        <v>11</v>
      </c>
      <c r="AC30" s="22"/>
      <c r="AD30" s="22"/>
      <c r="AE30" s="22">
        <v>11</v>
      </c>
      <c r="AF30" s="22">
        <v>11</v>
      </c>
      <c r="AG30" s="22"/>
      <c r="AH30" s="22"/>
      <c r="AI30" s="22">
        <v>11</v>
      </c>
      <c r="AJ30" s="22">
        <v>184</v>
      </c>
      <c r="AK30" s="22">
        <f t="shared" ref="AK30:AK37" si="9">SUM(E30:AI30)</f>
        <v>165</v>
      </c>
      <c r="AL30" s="23">
        <f t="shared" ref="AL30:AL37" si="10">D30*AK30</f>
        <v>37499.550000000003</v>
      </c>
      <c r="AM30" s="24">
        <v>5000</v>
      </c>
      <c r="AN30" s="23">
        <f t="shared" ref="AN30:AN37" si="11">AL30-AM30</f>
        <v>32499.550000000003</v>
      </c>
      <c r="AO30" s="23">
        <f t="shared" si="8"/>
        <v>0</v>
      </c>
      <c r="AP30" s="89"/>
    </row>
    <row r="31" spans="1:42" ht="22.95" customHeight="1" x14ac:dyDescent="0.3">
      <c r="A31" s="13">
        <f t="shared" si="3"/>
        <v>3</v>
      </c>
      <c r="B31" s="89" t="s">
        <v>59</v>
      </c>
      <c r="C31" s="20" t="s">
        <v>23</v>
      </c>
      <c r="D31" s="21">
        <v>227.27</v>
      </c>
      <c r="E31" s="22">
        <v>11</v>
      </c>
      <c r="F31" s="22">
        <v>11</v>
      </c>
      <c r="G31" s="22"/>
      <c r="H31" s="22"/>
      <c r="I31" s="22">
        <v>11</v>
      </c>
      <c r="J31" s="22">
        <v>11</v>
      </c>
      <c r="K31" s="22"/>
      <c r="L31" s="22"/>
      <c r="M31" s="22">
        <v>11</v>
      </c>
      <c r="N31" s="22">
        <v>11</v>
      </c>
      <c r="O31" s="22"/>
      <c r="P31" s="22"/>
      <c r="Q31" s="22">
        <v>11</v>
      </c>
      <c r="R31" s="22">
        <v>11</v>
      </c>
      <c r="S31" s="81"/>
      <c r="T31" s="22"/>
      <c r="U31" s="22">
        <v>11</v>
      </c>
      <c r="V31" s="22">
        <v>11</v>
      </c>
      <c r="W31" s="22"/>
      <c r="X31" s="22"/>
      <c r="Y31" s="22">
        <v>11</v>
      </c>
      <c r="Z31" s="22">
        <v>11</v>
      </c>
      <c r="AA31" s="22"/>
      <c r="AB31" s="22"/>
      <c r="AC31" s="22">
        <v>11</v>
      </c>
      <c r="AD31" s="22">
        <v>11</v>
      </c>
      <c r="AE31" s="22"/>
      <c r="AF31" s="22"/>
      <c r="AG31" s="22">
        <v>11</v>
      </c>
      <c r="AH31" s="22">
        <v>11</v>
      </c>
      <c r="AI31" s="22"/>
      <c r="AJ31" s="22">
        <v>184</v>
      </c>
      <c r="AK31" s="22">
        <f t="shared" si="9"/>
        <v>176</v>
      </c>
      <c r="AL31" s="23">
        <f t="shared" si="10"/>
        <v>39999.520000000004</v>
      </c>
      <c r="AM31" s="24">
        <v>5000</v>
      </c>
      <c r="AN31" s="23">
        <f t="shared" si="11"/>
        <v>34999.520000000004</v>
      </c>
      <c r="AO31" s="23">
        <f t="shared" si="8"/>
        <v>0</v>
      </c>
      <c r="AP31" s="89"/>
    </row>
    <row r="32" spans="1:42" ht="22.95" customHeight="1" x14ac:dyDescent="0.3">
      <c r="A32" s="13">
        <f t="shared" si="3"/>
        <v>4</v>
      </c>
      <c r="B32" s="89" t="s">
        <v>60</v>
      </c>
      <c r="C32" s="20" t="s">
        <v>23</v>
      </c>
      <c r="D32" s="21">
        <v>227.27</v>
      </c>
      <c r="E32" s="6"/>
      <c r="F32" s="22"/>
      <c r="G32" s="22">
        <v>11</v>
      </c>
      <c r="H32" s="22">
        <v>11</v>
      </c>
      <c r="I32" s="22"/>
      <c r="J32" s="22"/>
      <c r="K32" s="22">
        <v>11</v>
      </c>
      <c r="L32" s="22">
        <v>11</v>
      </c>
      <c r="M32" s="22"/>
      <c r="N32" s="22"/>
      <c r="O32" s="22">
        <v>11</v>
      </c>
      <c r="P32" s="22">
        <v>11</v>
      </c>
      <c r="Q32" s="22"/>
      <c r="R32" s="22"/>
      <c r="S32" s="81">
        <v>11</v>
      </c>
      <c r="T32" s="22">
        <v>11</v>
      </c>
      <c r="U32" s="86" t="s">
        <v>45</v>
      </c>
      <c r="V32" s="86" t="s">
        <v>45</v>
      </c>
      <c r="W32" s="86" t="s">
        <v>45</v>
      </c>
      <c r="X32" s="86" t="s">
        <v>45</v>
      </c>
      <c r="Y32" s="86" t="s">
        <v>45</v>
      </c>
      <c r="Z32" s="86" t="s">
        <v>45</v>
      </c>
      <c r="AA32" s="22">
        <v>11</v>
      </c>
      <c r="AB32" s="22">
        <v>11</v>
      </c>
      <c r="AC32" s="22"/>
      <c r="AD32" s="22"/>
      <c r="AE32" s="22">
        <v>11</v>
      </c>
      <c r="AF32" s="22">
        <v>11</v>
      </c>
      <c r="AG32" s="22"/>
      <c r="AH32" s="22"/>
      <c r="AI32" s="22">
        <v>11</v>
      </c>
      <c r="AJ32" s="22">
        <v>184</v>
      </c>
      <c r="AK32" s="22">
        <f t="shared" si="9"/>
        <v>143</v>
      </c>
      <c r="AL32" s="23">
        <f t="shared" si="10"/>
        <v>32499.61</v>
      </c>
      <c r="AM32" s="24">
        <v>5000</v>
      </c>
      <c r="AN32" s="23">
        <f t="shared" si="11"/>
        <v>27499.61</v>
      </c>
      <c r="AO32" s="23">
        <f t="shared" si="8"/>
        <v>0</v>
      </c>
      <c r="AP32" s="89"/>
    </row>
    <row r="33" spans="1:42" ht="22.95" customHeight="1" x14ac:dyDescent="0.3">
      <c r="A33" s="13">
        <f t="shared" si="3"/>
        <v>5</v>
      </c>
      <c r="B33" s="89" t="s">
        <v>61</v>
      </c>
      <c r="C33" s="20" t="s">
        <v>23</v>
      </c>
      <c r="D33" s="21">
        <v>227.27</v>
      </c>
      <c r="E33" s="22">
        <v>11</v>
      </c>
      <c r="F33" s="22">
        <v>11</v>
      </c>
      <c r="G33" s="22"/>
      <c r="H33" s="22"/>
      <c r="I33" s="22">
        <v>11</v>
      </c>
      <c r="J33" s="22">
        <v>11</v>
      </c>
      <c r="K33" s="22"/>
      <c r="L33" s="22"/>
      <c r="M33" s="22">
        <v>11</v>
      </c>
      <c r="N33" s="22">
        <v>11</v>
      </c>
      <c r="O33" s="22"/>
      <c r="P33" s="22"/>
      <c r="Q33" s="22">
        <v>11</v>
      </c>
      <c r="R33" s="22">
        <v>11</v>
      </c>
      <c r="S33" s="81"/>
      <c r="T33" s="22"/>
      <c r="U33" s="22">
        <v>11</v>
      </c>
      <c r="V33" s="22">
        <v>11</v>
      </c>
      <c r="W33" s="22"/>
      <c r="X33" s="22"/>
      <c r="Y33" s="22">
        <v>11</v>
      </c>
      <c r="Z33" s="22">
        <v>11</v>
      </c>
      <c r="AA33" s="22"/>
      <c r="AB33" s="22"/>
      <c r="AC33" s="22">
        <v>11</v>
      </c>
      <c r="AD33" s="22">
        <v>11</v>
      </c>
      <c r="AE33" s="22"/>
      <c r="AF33" s="22"/>
      <c r="AG33" s="22">
        <v>11</v>
      </c>
      <c r="AH33" s="22">
        <v>11</v>
      </c>
      <c r="AI33" s="22"/>
      <c r="AJ33" s="22">
        <v>184</v>
      </c>
      <c r="AK33" s="22">
        <f t="shared" si="9"/>
        <v>176</v>
      </c>
      <c r="AL33" s="23">
        <f t="shared" si="10"/>
        <v>39999.520000000004</v>
      </c>
      <c r="AM33" s="24">
        <v>5000</v>
      </c>
      <c r="AN33" s="23">
        <f t="shared" si="11"/>
        <v>34999.520000000004</v>
      </c>
      <c r="AO33" s="23">
        <f t="shared" si="8"/>
        <v>0</v>
      </c>
      <c r="AP33" s="89"/>
    </row>
    <row r="34" spans="1:42" ht="22.95" customHeight="1" x14ac:dyDescent="0.3">
      <c r="A34" s="13">
        <f t="shared" si="3"/>
        <v>6</v>
      </c>
      <c r="B34" s="89" t="s">
        <v>62</v>
      </c>
      <c r="C34" s="20" t="s">
        <v>23</v>
      </c>
      <c r="D34" s="21">
        <v>227.27</v>
      </c>
      <c r="E34" s="6"/>
      <c r="F34" s="22"/>
      <c r="G34" s="22">
        <v>11</v>
      </c>
      <c r="H34" s="22">
        <v>11</v>
      </c>
      <c r="I34" s="22"/>
      <c r="J34" s="22"/>
      <c r="K34" s="22">
        <v>11</v>
      </c>
      <c r="L34" s="22">
        <v>11</v>
      </c>
      <c r="M34" s="22"/>
      <c r="N34" s="22"/>
      <c r="O34" s="22">
        <v>11</v>
      </c>
      <c r="P34" s="22">
        <v>11</v>
      </c>
      <c r="Q34" s="22"/>
      <c r="R34" s="22"/>
      <c r="S34" s="81">
        <v>11</v>
      </c>
      <c r="T34" s="22">
        <v>11</v>
      </c>
      <c r="U34" s="22"/>
      <c r="V34" s="22"/>
      <c r="W34" s="22">
        <v>11</v>
      </c>
      <c r="X34" s="22">
        <v>11</v>
      </c>
      <c r="Y34" s="22"/>
      <c r="Z34" s="22"/>
      <c r="AA34" s="22">
        <v>11</v>
      </c>
      <c r="AB34" s="22">
        <v>11</v>
      </c>
      <c r="AC34" s="22"/>
      <c r="AD34" s="22"/>
      <c r="AE34" s="22">
        <v>11</v>
      </c>
      <c r="AF34" s="22">
        <v>11</v>
      </c>
      <c r="AG34" s="22"/>
      <c r="AH34" s="22"/>
      <c r="AI34" s="22">
        <v>11</v>
      </c>
      <c r="AJ34" s="22">
        <v>184</v>
      </c>
      <c r="AK34" s="22">
        <f t="shared" si="9"/>
        <v>165</v>
      </c>
      <c r="AL34" s="23">
        <f t="shared" si="10"/>
        <v>37499.550000000003</v>
      </c>
      <c r="AM34" s="24">
        <v>5000</v>
      </c>
      <c r="AN34" s="23">
        <f t="shared" si="11"/>
        <v>32499.550000000003</v>
      </c>
      <c r="AO34" s="23">
        <f t="shared" si="8"/>
        <v>0</v>
      </c>
      <c r="AP34" s="89"/>
    </row>
    <row r="35" spans="1:42" ht="22.95" customHeight="1" x14ac:dyDescent="0.3">
      <c r="A35" s="13">
        <f t="shared" si="3"/>
        <v>7</v>
      </c>
      <c r="B35" s="89" t="s">
        <v>63</v>
      </c>
      <c r="C35" s="20" t="s">
        <v>23</v>
      </c>
      <c r="D35" s="21">
        <v>227.27</v>
      </c>
      <c r="E35" s="22">
        <v>11</v>
      </c>
      <c r="F35" s="22">
        <v>11</v>
      </c>
      <c r="G35" s="22"/>
      <c r="H35" s="22"/>
      <c r="I35" s="22">
        <v>11</v>
      </c>
      <c r="J35" s="22">
        <v>11</v>
      </c>
      <c r="K35" s="22"/>
      <c r="L35" s="22"/>
      <c r="M35" s="22">
        <v>11</v>
      </c>
      <c r="N35" s="22">
        <v>11</v>
      </c>
      <c r="O35" s="22"/>
      <c r="P35" s="22"/>
      <c r="Q35" s="22">
        <v>11</v>
      </c>
      <c r="R35" s="22">
        <v>11</v>
      </c>
      <c r="S35" s="81"/>
      <c r="T35" s="22"/>
      <c r="U35" s="22">
        <v>11</v>
      </c>
      <c r="V35" s="22">
        <v>11</v>
      </c>
      <c r="W35" s="22"/>
      <c r="X35" s="22"/>
      <c r="Y35" s="22">
        <v>11</v>
      </c>
      <c r="Z35" s="22">
        <v>11</v>
      </c>
      <c r="AA35" s="22"/>
      <c r="AB35" s="22"/>
      <c r="AC35" s="22">
        <v>11</v>
      </c>
      <c r="AD35" s="22">
        <v>11</v>
      </c>
      <c r="AE35" s="22"/>
      <c r="AF35" s="22"/>
      <c r="AG35" s="22">
        <v>11</v>
      </c>
      <c r="AH35" s="22">
        <v>11</v>
      </c>
      <c r="AI35" s="22"/>
      <c r="AJ35" s="22">
        <v>184</v>
      </c>
      <c r="AK35" s="22">
        <f t="shared" si="9"/>
        <v>176</v>
      </c>
      <c r="AL35" s="23">
        <f t="shared" si="10"/>
        <v>39999.520000000004</v>
      </c>
      <c r="AM35" s="24">
        <v>5000</v>
      </c>
      <c r="AN35" s="23">
        <f t="shared" si="11"/>
        <v>34999.520000000004</v>
      </c>
      <c r="AO35" s="23">
        <f t="shared" si="8"/>
        <v>0</v>
      </c>
    </row>
    <row r="36" spans="1:42" ht="22.95" customHeight="1" x14ac:dyDescent="0.3">
      <c r="A36" s="13">
        <f t="shared" si="3"/>
        <v>8</v>
      </c>
      <c r="B36" s="89" t="s">
        <v>64</v>
      </c>
      <c r="C36" s="20" t="s">
        <v>23</v>
      </c>
      <c r="D36" s="21">
        <v>227.27</v>
      </c>
      <c r="E36" s="6"/>
      <c r="F36" s="22"/>
      <c r="G36" s="22">
        <v>11</v>
      </c>
      <c r="H36" s="22">
        <v>11</v>
      </c>
      <c r="I36" s="22"/>
      <c r="J36" s="22"/>
      <c r="K36" s="22">
        <v>11</v>
      </c>
      <c r="L36" s="22">
        <v>11</v>
      </c>
      <c r="M36" s="22"/>
      <c r="N36" s="22"/>
      <c r="O36" s="22">
        <v>11</v>
      </c>
      <c r="P36" s="22">
        <v>11</v>
      </c>
      <c r="Q36" s="22"/>
      <c r="R36" s="22"/>
      <c r="S36" s="81">
        <v>11</v>
      </c>
      <c r="T36" s="22">
        <v>11</v>
      </c>
      <c r="U36" s="22"/>
      <c r="V36" s="22"/>
      <c r="W36" s="22">
        <v>11</v>
      </c>
      <c r="X36" s="22">
        <v>11</v>
      </c>
      <c r="Y36" s="22"/>
      <c r="Z36" s="22"/>
      <c r="AA36" s="22">
        <v>11</v>
      </c>
      <c r="AB36" s="22">
        <v>11</v>
      </c>
      <c r="AC36" s="22"/>
      <c r="AD36" s="22"/>
      <c r="AE36" s="22">
        <v>11</v>
      </c>
      <c r="AF36" s="22">
        <v>11</v>
      </c>
      <c r="AG36" s="22"/>
      <c r="AH36" s="22"/>
      <c r="AI36" s="22">
        <v>11</v>
      </c>
      <c r="AJ36" s="22">
        <v>184</v>
      </c>
      <c r="AK36" s="22">
        <f t="shared" si="9"/>
        <v>165</v>
      </c>
      <c r="AL36" s="23">
        <f t="shared" si="10"/>
        <v>37499.550000000003</v>
      </c>
      <c r="AM36" s="24">
        <v>5000</v>
      </c>
      <c r="AN36" s="23">
        <f t="shared" si="11"/>
        <v>32499.550000000003</v>
      </c>
      <c r="AO36" s="23">
        <f t="shared" si="8"/>
        <v>0</v>
      </c>
      <c r="AP36" s="90"/>
    </row>
    <row r="37" spans="1:42" ht="22.95" customHeight="1" x14ac:dyDescent="0.3">
      <c r="A37" s="13">
        <f t="shared" si="3"/>
        <v>9</v>
      </c>
      <c r="B37" s="89" t="s">
        <v>65</v>
      </c>
      <c r="C37" s="20" t="s">
        <v>23</v>
      </c>
      <c r="D37" s="21">
        <v>227.27</v>
      </c>
      <c r="E37" s="22">
        <v>11</v>
      </c>
      <c r="F37" s="22">
        <v>11</v>
      </c>
      <c r="G37" s="22"/>
      <c r="H37" s="22"/>
      <c r="I37" s="22">
        <v>11</v>
      </c>
      <c r="J37" s="22">
        <v>11</v>
      </c>
      <c r="K37" s="22"/>
      <c r="L37" s="22"/>
      <c r="M37" s="22">
        <v>11</v>
      </c>
      <c r="N37" s="22">
        <v>11</v>
      </c>
      <c r="O37" s="22"/>
      <c r="P37" s="22"/>
      <c r="Q37" s="22">
        <v>11</v>
      </c>
      <c r="R37" s="22">
        <v>11</v>
      </c>
      <c r="S37" s="81"/>
      <c r="T37" s="22"/>
      <c r="U37" s="22">
        <v>11</v>
      </c>
      <c r="V37" s="22">
        <v>11</v>
      </c>
      <c r="W37" s="22"/>
      <c r="X37" s="22"/>
      <c r="Y37" s="22">
        <v>11</v>
      </c>
      <c r="Z37" s="22">
        <v>11</v>
      </c>
      <c r="AA37" s="22"/>
      <c r="AB37" s="22"/>
      <c r="AC37" s="22">
        <v>11</v>
      </c>
      <c r="AD37" s="22">
        <v>11</v>
      </c>
      <c r="AE37" s="22"/>
      <c r="AF37" s="22"/>
      <c r="AG37" s="22">
        <v>11</v>
      </c>
      <c r="AH37" s="22">
        <v>11</v>
      </c>
      <c r="AI37" s="22"/>
      <c r="AJ37" s="22">
        <v>184</v>
      </c>
      <c r="AK37" s="22">
        <f t="shared" si="9"/>
        <v>176</v>
      </c>
      <c r="AL37" s="23">
        <f t="shared" si="10"/>
        <v>39999.520000000004</v>
      </c>
      <c r="AM37" s="24">
        <v>5000</v>
      </c>
      <c r="AN37" s="23">
        <f t="shared" si="11"/>
        <v>34999.520000000004</v>
      </c>
      <c r="AO37" s="23">
        <f t="shared" si="8"/>
        <v>0</v>
      </c>
    </row>
    <row r="38" spans="1:42" ht="22.95" customHeight="1" x14ac:dyDescent="0.3">
      <c r="A38" s="13">
        <f t="shared" si="3"/>
        <v>10</v>
      </c>
      <c r="B38" s="19"/>
      <c r="C38" s="20"/>
      <c r="D38" s="21"/>
      <c r="E38" s="6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81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39</v>
      </c>
      <c r="AI38" s="22"/>
      <c r="AJ38" s="22"/>
      <c r="AK38" s="28">
        <f>SUM(AK29:AK37)</f>
        <v>1518</v>
      </c>
      <c r="AL38" s="28">
        <f>SUM(AL29:AL37)</f>
        <v>344995.86000000004</v>
      </c>
      <c r="AM38" s="28"/>
      <c r="AN38" s="28">
        <f>SUM(AN29:AN37)</f>
        <v>299995.86000000004</v>
      </c>
      <c r="AO38" s="23">
        <f t="shared" ref="AO38" si="12">AL38-AM38-AN38</f>
        <v>45000</v>
      </c>
    </row>
    <row r="39" spans="1:42" ht="31.2" customHeight="1" x14ac:dyDescent="0.3">
      <c r="B39" s="33"/>
      <c r="C39" s="34"/>
      <c r="D39" s="34"/>
      <c r="E39" s="34"/>
      <c r="F39" s="34"/>
      <c r="G39" s="34"/>
      <c r="H39" s="34"/>
      <c r="I39" s="33"/>
      <c r="J39" s="34"/>
      <c r="K39" s="34"/>
      <c r="L39" s="34"/>
      <c r="M39" s="33"/>
      <c r="N39" s="34"/>
      <c r="O39" s="33"/>
      <c r="P39" s="34"/>
      <c r="Q39" s="34"/>
      <c r="R39" s="34"/>
      <c r="S39" s="33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 t="s">
        <v>40</v>
      </c>
      <c r="AJ39" s="34"/>
      <c r="AK39" s="35">
        <f>AK38+AK27</f>
        <v>3407</v>
      </c>
      <c r="AL39" s="35">
        <f t="shared" ref="AL39:AO39" si="13">AL38+AL27</f>
        <v>782491.21000000008</v>
      </c>
      <c r="AM39" s="35">
        <f t="shared" si="13"/>
        <v>0</v>
      </c>
      <c r="AN39" s="35">
        <f t="shared" si="13"/>
        <v>674491.21000000008</v>
      </c>
      <c r="AO39" s="35">
        <f t="shared" si="13"/>
        <v>108000</v>
      </c>
      <c r="AP39" s="89"/>
    </row>
    <row r="40" spans="1:42" x14ac:dyDescent="0.25">
      <c r="AP40" s="89"/>
    </row>
    <row r="41" spans="1:42" x14ac:dyDescent="0.25">
      <c r="AP41" s="89"/>
    </row>
    <row r="42" spans="1:42" x14ac:dyDescent="0.25">
      <c r="AP42" s="89"/>
    </row>
  </sheetData>
  <mergeCells count="28">
    <mergeCell ref="AM12:AM14"/>
    <mergeCell ref="AN12:AN14"/>
    <mergeCell ref="Q4:AL7"/>
    <mergeCell ref="AO12:AO14"/>
    <mergeCell ref="D7:G7"/>
    <mergeCell ref="AM4:AM5"/>
    <mergeCell ref="AP4:AS4"/>
    <mergeCell ref="AN4:AO5"/>
    <mergeCell ref="AR5:AS5"/>
    <mergeCell ref="AR6:AS7"/>
    <mergeCell ref="AP5:AQ5"/>
    <mergeCell ref="D4:J4"/>
    <mergeCell ref="A4:B4"/>
    <mergeCell ref="A6:B6"/>
    <mergeCell ref="AP6:AQ7"/>
    <mergeCell ref="E12:AI12"/>
    <mergeCell ref="AN6:AO7"/>
    <mergeCell ref="AM6:AM7"/>
    <mergeCell ref="A7:B7"/>
    <mergeCell ref="Q9:AL9"/>
    <mergeCell ref="A12:A14"/>
    <mergeCell ref="B12:B14"/>
    <mergeCell ref="C12:C14"/>
    <mergeCell ref="D12:D14"/>
    <mergeCell ref="AJ13:AJ14"/>
    <mergeCell ref="AJ12:AK12"/>
    <mergeCell ref="AK13:AK14"/>
    <mergeCell ref="AL12:AL14"/>
  </mergeCells>
  <pageMargins left="0.31496062992125984" right="0.11811023622047245" top="0.55118110236220474" bottom="0.35433070866141736" header="0.31496062992125984" footer="0.31496062992125984"/>
  <pageSetup scale="40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F5A2-C17D-4B49-8D04-1E1422A10A51}">
  <dimension ref="B2:K20"/>
  <sheetViews>
    <sheetView workbookViewId="0">
      <selection activeCell="B2" sqref="B2:M22"/>
    </sheetView>
  </sheetViews>
  <sheetFormatPr defaultRowHeight="13.2" x14ac:dyDescent="0.25"/>
  <sheetData>
    <row r="2" spans="2:11" ht="13.8" x14ac:dyDescent="0.25">
      <c r="K2" s="3" t="s">
        <v>34</v>
      </c>
    </row>
    <row r="3" spans="2:11" x14ac:dyDescent="0.25">
      <c r="K3" t="s">
        <v>35</v>
      </c>
    </row>
    <row r="6" spans="2:11" ht="13.8" x14ac:dyDescent="0.25">
      <c r="F6" s="3" t="s">
        <v>36</v>
      </c>
    </row>
    <row r="10" spans="2:11" ht="18" x14ac:dyDescent="0.25">
      <c r="B10" s="42" t="s">
        <v>26</v>
      </c>
    </row>
    <row r="11" spans="2:11" ht="18" x14ac:dyDescent="0.25">
      <c r="B11" s="42" t="s">
        <v>27</v>
      </c>
    </row>
    <row r="12" spans="2:11" ht="18" x14ac:dyDescent="0.25">
      <c r="B12" s="42" t="s">
        <v>28</v>
      </c>
    </row>
    <row r="13" spans="2:11" x14ac:dyDescent="0.25">
      <c r="B13" s="43" t="s">
        <v>29</v>
      </c>
    </row>
    <row r="14" spans="2:11" x14ac:dyDescent="0.25">
      <c r="B14" s="43" t="s">
        <v>30</v>
      </c>
    </row>
    <row r="15" spans="2:11" x14ac:dyDescent="0.25">
      <c r="B15" s="43"/>
    </row>
    <row r="16" spans="2:11" x14ac:dyDescent="0.25">
      <c r="B16" s="43"/>
    </row>
    <row r="17" spans="2:2" x14ac:dyDescent="0.25">
      <c r="B17" s="43"/>
    </row>
    <row r="18" spans="2:2" ht="17.399999999999999" x14ac:dyDescent="0.25">
      <c r="B18" s="44" t="s">
        <v>31</v>
      </c>
    </row>
    <row r="19" spans="2:2" ht="15.6" x14ac:dyDescent="0.25">
      <c r="B19" s="45" t="s">
        <v>32</v>
      </c>
    </row>
    <row r="20" spans="2:2" ht="15.6" x14ac:dyDescent="0.25">
      <c r="B20" s="4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табель</vt:lpstr>
      <vt:lpstr>служебная записка</vt:lpstr>
    </vt:vector>
  </TitlesOfParts>
  <Company>Семья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Панфилов Сергей Владимирович</cp:lastModifiedBy>
  <cp:lastPrinted>2024-11-14T12:44:06Z</cp:lastPrinted>
  <dcterms:created xsi:type="dcterms:W3CDTF">2008-05-06T13:46:13Z</dcterms:created>
  <dcterms:modified xsi:type="dcterms:W3CDTF">2025-09-17T13:20:51Z</dcterms:modified>
</cp:coreProperties>
</file>