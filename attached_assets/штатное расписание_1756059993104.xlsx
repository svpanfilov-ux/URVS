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S.Panfilov\Downloads\"/>
    </mc:Choice>
  </mc:AlternateContent>
  <xr:revisionPtr revIDLastSave="0" documentId="8_{CA6FA22C-349E-420F-8894-701DB9F58FAC}" xr6:coauthVersionLast="47" xr6:coauthVersionMax="47" xr10:uidLastSave="{00000000-0000-0000-0000-000000000000}"/>
  <bookViews>
    <workbookView xWindow="-108" yWindow="-108" windowWidth="23256" windowHeight="13896" xr2:uid="{BF1E252C-ABC3-4234-BE51-7F66197D2969}"/>
  </bookViews>
  <sheets>
    <sheet name="Штатное расписание" sheetId="1" r:id="rId1"/>
  </sheets>
  <externalReferences>
    <externalReference r:id="rId2"/>
  </externalReferences>
  <definedNames>
    <definedName name="_xlnm.Print_Area" localSheetId="0">'Штатное расписание'!$A$1:$N$34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2" i="1" l="1"/>
  <c r="N32" i="1" s="1"/>
  <c r="L31" i="1"/>
  <c r="J31" i="1"/>
  <c r="N31" i="1" s="1"/>
  <c r="L30" i="1"/>
  <c r="N30" i="1" s="1"/>
  <c r="J30" i="1"/>
  <c r="L29" i="1"/>
  <c r="N29" i="1" s="1"/>
  <c r="J29" i="1"/>
  <c r="K29" i="1" s="1"/>
  <c r="L28" i="1"/>
  <c r="N28" i="1" s="1"/>
  <c r="J28" i="1"/>
  <c r="K28" i="1" s="1"/>
  <c r="L27" i="1"/>
  <c r="N27" i="1" s="1"/>
  <c r="J27" i="1"/>
  <c r="K27" i="1" s="1"/>
  <c r="L26" i="1"/>
  <c r="N26" i="1" s="1"/>
  <c r="J26" i="1"/>
  <c r="K26" i="1" s="1"/>
  <c r="L25" i="1"/>
  <c r="N25" i="1" s="1"/>
  <c r="J25" i="1"/>
  <c r="K25" i="1" s="1"/>
  <c r="L24" i="1"/>
  <c r="N24" i="1" s="1"/>
  <c r="J24" i="1"/>
  <c r="K24" i="1" s="1"/>
  <c r="L23" i="1"/>
  <c r="N23" i="1" s="1"/>
  <c r="J23" i="1"/>
  <c r="K23" i="1" s="1"/>
  <c r="L22" i="1"/>
  <c r="N22" i="1" s="1"/>
  <c r="J22" i="1"/>
  <c r="K22" i="1" s="1"/>
  <c r="L21" i="1"/>
  <c r="N21" i="1" s="1"/>
  <c r="J21" i="1"/>
  <c r="K21" i="1" s="1"/>
  <c r="L20" i="1"/>
  <c r="J20" i="1"/>
  <c r="K20" i="1" s="1"/>
  <c r="M19" i="1"/>
  <c r="J19" i="1"/>
  <c r="K19" i="1" s="1"/>
  <c r="K15" i="1"/>
  <c r="N15" i="1" s="1"/>
  <c r="L14" i="1"/>
  <c r="N14" i="1" s="1"/>
  <c r="J14" i="1"/>
  <c r="K14" i="1" s="1"/>
  <c r="L13" i="1"/>
  <c r="J13" i="1"/>
  <c r="L12" i="1"/>
  <c r="N12" i="1" s="1"/>
  <c r="J12" i="1"/>
  <c r="K12" i="1" s="1"/>
  <c r="N11" i="1"/>
  <c r="N13" i="1" s="1"/>
  <c r="L11" i="1"/>
  <c r="J11" i="1"/>
  <c r="L10" i="1"/>
  <c r="N10" i="1" s="1"/>
  <c r="J10" i="1"/>
  <c r="K10" i="1" s="1"/>
  <c r="L9" i="1"/>
  <c r="N9" i="1" s="1"/>
  <c r="J9" i="1"/>
  <c r="K9" i="1" s="1"/>
  <c r="L8" i="1"/>
  <c r="J8" i="1"/>
  <c r="K8" i="1" s="1"/>
  <c r="L7" i="1"/>
  <c r="N7" i="1" s="1"/>
  <c r="J7" i="1"/>
  <c r="K7" i="1" s="1"/>
  <c r="L6" i="1"/>
  <c r="N6" i="1" s="1"/>
  <c r="J6" i="1"/>
  <c r="K6" i="1" s="1"/>
  <c r="M5" i="1"/>
  <c r="J5" i="1"/>
  <c r="K5" i="1" s="1"/>
  <c r="K16" i="1" s="1"/>
  <c r="M16" i="1" l="1"/>
  <c r="L16" i="1"/>
  <c r="K31" i="1"/>
  <c r="L33" i="1" s="1"/>
  <c r="N5" i="1"/>
  <c r="N16" i="1" s="1"/>
  <c r="N8" i="1"/>
  <c r="N20" i="1"/>
  <c r="N19" i="1"/>
  <c r="N33" i="1" s="1"/>
  <c r="K33" i="1" l="1"/>
  <c r="M33" i="1"/>
</calcChain>
</file>

<file path=xl/sharedStrings.xml><?xml version="1.0" encoding="utf-8"?>
<sst xmlns="http://schemas.openxmlformats.org/spreadsheetml/2006/main" count="112" uniqueCount="40">
  <si>
    <t>№            п/п</t>
  </si>
  <si>
    <t>ДОЛЖНОСТЬ</t>
  </si>
  <si>
    <t>СЕЗОН</t>
  </si>
  <si>
    <t>ГРАФИК РАБОТ</t>
  </si>
  <si>
    <t>СМЕНА ЧАС</t>
  </si>
  <si>
    <t>ГРАФИК</t>
  </si>
  <si>
    <t>КОЛ-ВО ПЕРСОНАЛА</t>
  </si>
  <si>
    <t>ОПЛАТА ТРУДА РУЬ.</t>
  </si>
  <si>
    <t>ФОТ</t>
  </si>
  <si>
    <t>РАБ.ДНИ</t>
  </si>
  <si>
    <t>ВЫХ.ДНИ</t>
  </si>
  <si>
    <t>ДНИ</t>
  </si>
  <si>
    <t>ВРЕМЯ</t>
  </si>
  <si>
    <t>В СМЕНУ</t>
  </si>
  <si>
    <t>ИТОГО</t>
  </si>
  <si>
    <t>Смена</t>
  </si>
  <si>
    <t>оклад</t>
  </si>
  <si>
    <t>РУБ.</t>
  </si>
  <si>
    <t>Летний период 01.04-31.10</t>
  </si>
  <si>
    <t>ЛЕТО</t>
  </si>
  <si>
    <t>ПН-ПТ</t>
  </si>
  <si>
    <t>08:00-17:00</t>
  </si>
  <si>
    <t>ПН-ВС</t>
  </si>
  <si>
    <t>9:00-21:00</t>
  </si>
  <si>
    <t>21:00-09:00</t>
  </si>
  <si>
    <t>Зимний  период 01.11-31.03</t>
  </si>
  <si>
    <t>ЗИМА</t>
  </si>
  <si>
    <t>21:00-09:01</t>
  </si>
  <si>
    <t>21:00-09:02</t>
  </si>
  <si>
    <t>Менеджер</t>
  </si>
  <si>
    <t>Уборщик</t>
  </si>
  <si>
    <t>Оператор ПМ</t>
  </si>
  <si>
    <t>Сортировщик</t>
  </si>
  <si>
    <t>Дворник</t>
  </si>
  <si>
    <t>Дезинфектор</t>
  </si>
  <si>
    <t>Парковщие</t>
  </si>
  <si>
    <t>Уборщие</t>
  </si>
  <si>
    <t>Парковщик</t>
  </si>
  <si>
    <t>Уборщки</t>
  </si>
  <si>
    <t>Тракторист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</si>
</sst>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р_._-;\-* #,##0.00_р_._-;_-* &quot;-&quot;??_р_._-;_-@_-"/>
  </numFmts>
  <fonts count="11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0"/>
      <color theme="0"/>
      <name val="Cambria"/>
      <family val="1"/>
      <charset val="204"/>
    </font>
    <font>
      <sz val="10"/>
      <name val="Arial"/>
      <family val="2"/>
      <charset val="204"/>
    </font>
    <font>
      <b/>
      <sz val="10"/>
      <color theme="0"/>
      <name val="Cambria"/>
      <family val="2"/>
      <charset val="204"/>
      <scheme val="major"/>
    </font>
    <font>
      <b/>
      <sz val="11"/>
      <color theme="0" tint="-4.9989318521683403E-2"/>
      <name val="Cambria"/>
      <family val="1"/>
      <charset val="204"/>
      <scheme val="major"/>
    </font>
    <font>
      <sz val="10"/>
      <name val="Cambria"/>
      <family val="1"/>
      <charset val="204"/>
      <scheme val="major"/>
    </font>
    <font>
      <sz val="10"/>
      <color theme="1"/>
      <name val="Cambria"/>
      <family val="2"/>
      <charset val="204"/>
    </font>
    <font>
      <sz val="11"/>
      <color theme="1"/>
      <name val="Cambria"/>
      <family val="1"/>
      <charset val="204"/>
      <scheme val="major"/>
    </font>
    <font>
      <sz val="11"/>
      <name val="Cambria"/>
      <family val="1"/>
      <charset val="204"/>
      <scheme val="major"/>
    </font>
    <font>
      <b/>
      <sz val="11"/>
      <color theme="0"/>
      <name val="Cambria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/>
      <diagonal/>
    </border>
    <border>
      <left/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/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3" fillId="0" borderId="0"/>
  </cellStyleXfs>
  <cellXfs count="37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13" fontId="4" fillId="2" borderId="3" xfId="2" applyNumberFormat="1" applyFont="1" applyFill="1" applyBorder="1" applyAlignment="1">
      <alignment horizontal="center" vertical="center" wrapText="1"/>
    </xf>
    <xf numFmtId="13" fontId="4" fillId="2" borderId="6" xfId="2" applyNumberFormat="1" applyFont="1" applyFill="1" applyBorder="1" applyAlignment="1">
      <alignment horizontal="center" vertical="center" wrapText="1"/>
    </xf>
    <xf numFmtId="164" fontId="4" fillId="2" borderId="4" xfId="1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4" fillId="2" borderId="3" xfId="2" applyFont="1" applyFill="1" applyBorder="1" applyAlignment="1">
      <alignment horizontal="center" vertical="center" wrapText="1"/>
    </xf>
    <xf numFmtId="13" fontId="4" fillId="2" borderId="6" xfId="2" applyNumberFormat="1" applyFont="1" applyFill="1" applyBorder="1" applyAlignment="1">
      <alignment horizontal="center" vertical="center" wrapText="1"/>
    </xf>
    <xf numFmtId="164" fontId="4" fillId="2" borderId="8" xfId="1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6" fillId="3" borderId="6" xfId="0" applyFont="1" applyFill="1" applyBorder="1" applyAlignment="1">
      <alignment horizontal="left" vertical="center" wrapText="1"/>
    </xf>
    <xf numFmtId="0" fontId="7" fillId="0" borderId="6" xfId="0" applyFont="1" applyBorder="1" applyAlignment="1">
      <alignment horizontal="center" vertical="center" wrapText="1"/>
    </xf>
    <xf numFmtId="20" fontId="8" fillId="0" borderId="9" xfId="0" applyNumberFormat="1" applyFont="1" applyBorder="1" applyAlignment="1">
      <alignment vertical="center" wrapText="1"/>
    </xf>
    <xf numFmtId="164" fontId="0" fillId="0" borderId="6" xfId="1" applyFont="1" applyBorder="1" applyAlignment="1">
      <alignment horizontal="center" vertical="center" wrapText="1"/>
    </xf>
    <xf numFmtId="164" fontId="9" fillId="3" borderId="2" xfId="1" applyFont="1" applyFill="1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  <xf numFmtId="164" fontId="9" fillId="3" borderId="6" xfId="1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vertical="center" wrapText="1"/>
    </xf>
    <xf numFmtId="164" fontId="10" fillId="2" borderId="6" xfId="1" applyFont="1" applyFill="1" applyBorder="1" applyAlignment="1">
      <alignment horizontal="right" vertical="center" wrapText="1"/>
    </xf>
    <xf numFmtId="164" fontId="10" fillId="2" borderId="6" xfId="1" applyFont="1" applyFill="1" applyBorder="1" applyAlignment="1">
      <alignment vertical="center" wrapText="1"/>
    </xf>
    <xf numFmtId="164" fontId="0" fillId="0" borderId="0" xfId="1" applyFont="1" applyAlignment="1">
      <alignment horizontal="right" vertical="center" wrapText="1"/>
    </xf>
    <xf numFmtId="164" fontId="0" fillId="0" borderId="0" xfId="1" applyFont="1" applyAlignment="1">
      <alignment vertical="center" wrapText="1"/>
    </xf>
    <xf numFmtId="0" fontId="0" fillId="0" borderId="0" xfId="0" applyAlignment="1">
      <alignment horizontal="center" vertical="center" wrapText="1"/>
    </xf>
    <xf numFmtId="164" fontId="0" fillId="0" borderId="0" xfId="1" applyFont="1" applyBorder="1" applyAlignment="1">
      <alignment horizontal="right" vertical="center" wrapText="1"/>
    </xf>
    <xf numFmtId="164" fontId="0" fillId="0" borderId="0" xfId="1" applyFont="1" applyBorder="1" applyAlignment="1">
      <alignment vertical="center" wrapText="1"/>
    </xf>
  </cellXfs>
  <cellStyles count="3">
    <cellStyle name="Обычный" xfId="0" builtinId="0"/>
    <cellStyle name="Обычный_Рэдиссон" xfId="2" xr:uid="{4C6AC205-DB76-4550-B966-57EA4AAC913C}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.Panfilov\Documents\&#1041;&#1083;&#1072;&#1085;&#1082;&#1080;%20&#1074;&#1093;&#1086;&#1076;&#1072;\&#1041;&#1083;&#1072;&#1085;&#1082;%20&#1074;&#1093;&#1086;&#1076;&#1072;%20&#1051;&#1077;&#1088;&#1091;&#1072;%20&#1055;&#1077;&#1090;&#1088;&#1086;&#1079;&#1072;&#1074;&#1086;&#1076;&#1089;&#1082;.xlsx" TargetMode="External"/><Relationship Id="rId1" Type="http://schemas.openxmlformats.org/officeDocument/2006/relationships/externalLinkPath" Target="/Users/S.Panfilov/Documents/&#1041;&#1083;&#1072;&#1085;&#1082;&#1080;%20&#1074;&#1093;&#1086;&#1076;&#1072;/&#1041;&#1083;&#1072;&#1085;&#1082;%20&#1074;&#1093;&#1086;&#1076;&#1072;%20&#1051;&#1077;&#1088;&#1091;&#1072;%20&#1055;&#1077;&#1090;&#1088;&#1086;&#1079;&#1072;&#1074;&#1086;&#1076;&#1089;&#108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Бланк-Вход"/>
      <sheetName val="Штатное расписание"/>
      <sheetName val="Бланк закупки"/>
      <sheetName val="Лист2"/>
      <sheetName val="Штат-шаблон"/>
    </sheetNames>
    <sheetDataSet>
      <sheetData sheetId="0">
        <row r="18">
          <cell r="D18">
            <v>1</v>
          </cell>
          <cell r="H18">
            <v>56000</v>
          </cell>
        </row>
        <row r="19">
          <cell r="D19">
            <v>1</v>
          </cell>
          <cell r="H19">
            <v>2250</v>
          </cell>
        </row>
        <row r="20">
          <cell r="D20">
            <v>2</v>
          </cell>
          <cell r="H20">
            <v>2200</v>
          </cell>
        </row>
        <row r="21">
          <cell r="D21">
            <v>1</v>
          </cell>
          <cell r="H21">
            <v>2450</v>
          </cell>
        </row>
        <row r="22">
          <cell r="D22">
            <v>1</v>
          </cell>
          <cell r="H22">
            <v>2200</v>
          </cell>
        </row>
        <row r="23">
          <cell r="D23">
            <v>1</v>
          </cell>
          <cell r="H23">
            <v>2200</v>
          </cell>
        </row>
        <row r="24">
          <cell r="D24">
            <v>1</v>
          </cell>
          <cell r="H24">
            <v>1100</v>
          </cell>
        </row>
        <row r="25">
          <cell r="D25">
            <v>1</v>
          </cell>
          <cell r="H25">
            <v>2200</v>
          </cell>
        </row>
        <row r="26">
          <cell r="D26">
            <v>1</v>
          </cell>
          <cell r="H26">
            <v>1100</v>
          </cell>
        </row>
        <row r="27">
          <cell r="D27">
            <v>2</v>
          </cell>
          <cell r="H27">
            <v>2200</v>
          </cell>
        </row>
        <row r="45">
          <cell r="D45">
            <v>1</v>
          </cell>
          <cell r="H45">
            <v>56000</v>
          </cell>
        </row>
        <row r="46">
          <cell r="D46">
            <v>1</v>
          </cell>
          <cell r="H46">
            <v>2250</v>
          </cell>
        </row>
        <row r="47">
          <cell r="D47">
            <v>2</v>
          </cell>
          <cell r="H47">
            <v>2200</v>
          </cell>
        </row>
        <row r="48">
          <cell r="D48">
            <v>1</v>
          </cell>
          <cell r="H48">
            <v>2450</v>
          </cell>
        </row>
        <row r="49">
          <cell r="D49">
            <v>1</v>
          </cell>
          <cell r="H49">
            <v>2200</v>
          </cell>
        </row>
        <row r="50">
          <cell r="D50">
            <v>1</v>
          </cell>
          <cell r="H50">
            <v>916.66666666666674</v>
          </cell>
        </row>
        <row r="51">
          <cell r="D51">
            <v>1</v>
          </cell>
          <cell r="H51">
            <v>2200</v>
          </cell>
        </row>
        <row r="52">
          <cell r="D52">
            <v>1</v>
          </cell>
          <cell r="H52">
            <v>2200</v>
          </cell>
        </row>
        <row r="53">
          <cell r="D53">
            <v>2</v>
          </cell>
          <cell r="H53">
            <v>2200</v>
          </cell>
        </row>
        <row r="54">
          <cell r="D54">
            <v>1</v>
          </cell>
          <cell r="H54">
            <v>2500</v>
          </cell>
        </row>
        <row r="55">
          <cell r="D55">
            <v>1</v>
          </cell>
          <cell r="H55">
            <v>2200</v>
          </cell>
        </row>
        <row r="56">
          <cell r="D56">
            <v>1</v>
          </cell>
          <cell r="H56">
            <v>2200</v>
          </cell>
        </row>
        <row r="57">
          <cell r="D57">
            <v>1</v>
          </cell>
          <cell r="H57">
            <v>3500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061C6-5C2D-48B1-A8C5-7E2522625F51}">
  <sheetPr codeName="Лист2"/>
  <dimension ref="B2:N34"/>
  <sheetViews>
    <sheetView tabSelected="1" zoomScale="80" zoomScaleNormal="80" zoomScaleSheetLayoutView="80" workbookViewId="0">
      <selection activeCell="C32" sqref="C32"/>
    </sheetView>
  </sheetViews>
  <sheetFormatPr defaultColWidth="10" defaultRowHeight="14.4" x14ac:dyDescent="0.3"/>
  <cols>
    <col min="1" max="1" width="5" style="1" customWidth="1"/>
    <col min="2" max="2" width="7.21875" style="1" customWidth="1"/>
    <col min="3" max="3" width="36.5546875" style="1" customWidth="1"/>
    <col min="4" max="4" width="8" style="1" customWidth="1"/>
    <col min="5" max="6" width="11.21875" style="1" customWidth="1"/>
    <col min="7" max="8" width="10" style="1"/>
    <col min="9" max="9" width="13.5546875" style="1" customWidth="1"/>
    <col min="10" max="10" width="13" style="1" customWidth="1"/>
    <col min="11" max="11" width="11.77734375" style="1" customWidth="1"/>
    <col min="12" max="12" width="17.21875" style="32" customWidth="1"/>
    <col min="13" max="13" width="14.88671875" style="32" customWidth="1"/>
    <col min="14" max="14" width="17.44140625" style="33" customWidth="1"/>
    <col min="15" max="16384" width="10" style="1"/>
  </cols>
  <sheetData>
    <row r="2" spans="2:14" s="3" customFormat="1" x14ac:dyDescent="0.3">
      <c r="B2" s="4" t="s">
        <v>0</v>
      </c>
      <c r="C2" s="4" t="s">
        <v>1</v>
      </c>
      <c r="D2" s="4" t="s">
        <v>2</v>
      </c>
      <c r="E2" s="5" t="s">
        <v>3</v>
      </c>
      <c r="F2" s="6"/>
      <c r="G2" s="4" t="s">
        <v>4</v>
      </c>
      <c r="H2" s="7" t="s">
        <v>5</v>
      </c>
      <c r="I2" s="8"/>
      <c r="J2" s="9" t="s">
        <v>6</v>
      </c>
      <c r="K2" s="10"/>
      <c r="L2" s="10" t="s">
        <v>7</v>
      </c>
      <c r="M2" s="10"/>
      <c r="N2" s="11" t="s">
        <v>8</v>
      </c>
    </row>
    <row r="3" spans="2:14" s="3" customFormat="1" x14ac:dyDescent="0.3">
      <c r="B3" s="12"/>
      <c r="C3" s="12"/>
      <c r="D3" s="12"/>
      <c r="E3" s="13" t="s">
        <v>9</v>
      </c>
      <c r="F3" s="13" t="s">
        <v>10</v>
      </c>
      <c r="G3" s="12"/>
      <c r="H3" s="14" t="s">
        <v>11</v>
      </c>
      <c r="I3" s="14" t="s">
        <v>12</v>
      </c>
      <c r="J3" s="15" t="s">
        <v>13</v>
      </c>
      <c r="K3" s="16" t="s">
        <v>14</v>
      </c>
      <c r="L3" s="17" t="s">
        <v>15</v>
      </c>
      <c r="M3" s="17" t="s">
        <v>16</v>
      </c>
      <c r="N3" s="17" t="s">
        <v>17</v>
      </c>
    </row>
    <row r="4" spans="2:14" s="3" customFormat="1" x14ac:dyDescent="0.3">
      <c r="B4" s="13"/>
      <c r="C4" s="18" t="s">
        <v>18</v>
      </c>
      <c r="D4" s="13"/>
      <c r="E4" s="13"/>
      <c r="F4" s="13"/>
      <c r="G4" s="13"/>
      <c r="H4" s="14"/>
      <c r="I4" s="19"/>
      <c r="J4" s="15"/>
      <c r="K4" s="16"/>
      <c r="L4" s="17"/>
      <c r="M4" s="17"/>
      <c r="N4" s="17"/>
    </row>
    <row r="5" spans="2:14" x14ac:dyDescent="0.3">
      <c r="B5" s="20">
        <v>1</v>
      </c>
      <c r="C5" s="21" t="s">
        <v>29</v>
      </c>
      <c r="D5" s="22" t="s">
        <v>19</v>
      </c>
      <c r="E5" s="20">
        <v>5</v>
      </c>
      <c r="F5" s="20">
        <v>2</v>
      </c>
      <c r="G5" s="20">
        <v>5</v>
      </c>
      <c r="H5" s="22" t="s">
        <v>20</v>
      </c>
      <c r="I5" s="23" t="s">
        <v>21</v>
      </c>
      <c r="J5" s="20">
        <f>'[1]Бланк-Вход'!D18</f>
        <v>1</v>
      </c>
      <c r="K5" s="20">
        <f>IF(E5=5,J5,IF(E5=2,J5*2,IF(E5=6,J5,IF(E5=1*(F5=3),J5*4,IF(E5=1*(F5=2),J5*3,0)))))</f>
        <v>1</v>
      </c>
      <c r="L5" s="24"/>
      <c r="M5" s="24">
        <f>'[1]Бланк-Вход'!H18</f>
        <v>56000</v>
      </c>
      <c r="N5" s="25">
        <f>M5*J5</f>
        <v>56000</v>
      </c>
    </row>
    <row r="6" spans="2:14" x14ac:dyDescent="0.3">
      <c r="B6" s="20">
        <v>2</v>
      </c>
      <c r="C6" s="21" t="s">
        <v>30</v>
      </c>
      <c r="D6" s="22" t="s">
        <v>19</v>
      </c>
      <c r="E6" s="20">
        <v>2</v>
      </c>
      <c r="F6" s="20">
        <v>2</v>
      </c>
      <c r="G6" s="20">
        <v>12</v>
      </c>
      <c r="H6" s="22" t="s">
        <v>22</v>
      </c>
      <c r="I6" s="23" t="s">
        <v>23</v>
      </c>
      <c r="J6" s="20">
        <f>'[1]Бланк-Вход'!D19</f>
        <v>1</v>
      </c>
      <c r="K6" s="20">
        <f t="shared" ref="K6:K14" si="0">IF(E6=5,J6,IF(E6=2,J6*2,IF(E6=6,J6,IF(E6=1*(F6=3),J6*4,IF(E6=1*(F6=2),J6*3,0)))))</f>
        <v>2</v>
      </c>
      <c r="L6" s="24">
        <f>'[1]Бланк-Вход'!H19</f>
        <v>2250</v>
      </c>
      <c r="M6" s="24"/>
      <c r="N6" s="25">
        <f>L6*J6*30.4</f>
        <v>68400</v>
      </c>
    </row>
    <row r="7" spans="2:14" x14ac:dyDescent="0.3">
      <c r="B7" s="20">
        <v>3</v>
      </c>
      <c r="C7" s="21" t="s">
        <v>30</v>
      </c>
      <c r="D7" s="22" t="s">
        <v>19</v>
      </c>
      <c r="E7" s="20">
        <v>2</v>
      </c>
      <c r="F7" s="20">
        <v>2</v>
      </c>
      <c r="G7" s="20">
        <v>12</v>
      </c>
      <c r="H7" s="22" t="s">
        <v>22</v>
      </c>
      <c r="I7" s="23" t="s">
        <v>23</v>
      </c>
      <c r="J7" s="20">
        <f>'[1]Бланк-Вход'!D20</f>
        <v>2</v>
      </c>
      <c r="K7" s="20">
        <f t="shared" si="0"/>
        <v>4</v>
      </c>
      <c r="L7" s="24">
        <f>'[1]Бланк-Вход'!H20</f>
        <v>2200</v>
      </c>
      <c r="M7" s="24"/>
      <c r="N7" s="25">
        <f t="shared" ref="N7:N14" si="1">L7*J7*30.4</f>
        <v>133760</v>
      </c>
    </row>
    <row r="8" spans="2:14" x14ac:dyDescent="0.3">
      <c r="B8" s="20">
        <v>4</v>
      </c>
      <c r="C8" s="21" t="s">
        <v>31</v>
      </c>
      <c r="D8" s="22" t="s">
        <v>19</v>
      </c>
      <c r="E8" s="20">
        <v>2</v>
      </c>
      <c r="F8" s="20">
        <v>2</v>
      </c>
      <c r="G8" s="20">
        <v>12</v>
      </c>
      <c r="H8" s="22" t="s">
        <v>22</v>
      </c>
      <c r="I8" s="23" t="s">
        <v>23</v>
      </c>
      <c r="J8" s="20">
        <f>'[1]Бланк-Вход'!D21</f>
        <v>1</v>
      </c>
      <c r="K8" s="20">
        <f t="shared" si="0"/>
        <v>2</v>
      </c>
      <c r="L8" s="24">
        <f>'[1]Бланк-Вход'!H21</f>
        <v>2450</v>
      </c>
      <c r="M8" s="24"/>
      <c r="N8" s="25">
        <f t="shared" si="1"/>
        <v>74480</v>
      </c>
    </row>
    <row r="9" spans="2:14" x14ac:dyDescent="0.3">
      <c r="B9" s="20">
        <v>5</v>
      </c>
      <c r="C9" s="21" t="s">
        <v>32</v>
      </c>
      <c r="D9" s="22" t="s">
        <v>19</v>
      </c>
      <c r="E9" s="20">
        <v>2</v>
      </c>
      <c r="F9" s="20">
        <v>2</v>
      </c>
      <c r="G9" s="20">
        <v>12</v>
      </c>
      <c r="H9" s="22" t="s">
        <v>22</v>
      </c>
      <c r="I9" s="23" t="s">
        <v>23</v>
      </c>
      <c r="J9" s="20">
        <f>'[1]Бланк-Вход'!D22</f>
        <v>1</v>
      </c>
      <c r="K9" s="20">
        <f t="shared" si="0"/>
        <v>2</v>
      </c>
      <c r="L9" s="24">
        <f>'[1]Бланк-Вход'!H22</f>
        <v>2200</v>
      </c>
      <c r="M9" s="24"/>
      <c r="N9" s="25">
        <f t="shared" si="1"/>
        <v>66880</v>
      </c>
    </row>
    <row r="10" spans="2:14" x14ac:dyDescent="0.3">
      <c r="B10" s="20">
        <v>6</v>
      </c>
      <c r="C10" s="21" t="s">
        <v>33</v>
      </c>
      <c r="D10" s="22" t="s">
        <v>19</v>
      </c>
      <c r="E10" s="20">
        <v>2</v>
      </c>
      <c r="F10" s="20">
        <v>2</v>
      </c>
      <c r="G10" s="20">
        <v>12</v>
      </c>
      <c r="H10" s="22" t="s">
        <v>22</v>
      </c>
      <c r="I10" s="23" t="s">
        <v>23</v>
      </c>
      <c r="J10" s="20">
        <f>'[1]Бланк-Вход'!D23</f>
        <v>1</v>
      </c>
      <c r="K10" s="20">
        <f t="shared" si="0"/>
        <v>2</v>
      </c>
      <c r="L10" s="24">
        <f>'[1]Бланк-Вход'!H23</f>
        <v>2200</v>
      </c>
      <c r="M10" s="24"/>
      <c r="N10" s="25">
        <f t="shared" si="1"/>
        <v>66880</v>
      </c>
    </row>
    <row r="11" spans="2:14" x14ac:dyDescent="0.3">
      <c r="B11" s="20">
        <v>7</v>
      </c>
      <c r="C11" s="21" t="s">
        <v>34</v>
      </c>
      <c r="D11" s="22" t="s">
        <v>19</v>
      </c>
      <c r="E11" s="20">
        <v>2</v>
      </c>
      <c r="F11" s="20">
        <v>2</v>
      </c>
      <c r="G11" s="20">
        <v>12</v>
      </c>
      <c r="H11" s="22" t="s">
        <v>22</v>
      </c>
      <c r="I11" s="23" t="s">
        <v>23</v>
      </c>
      <c r="J11" s="20">
        <f>'[1]Бланк-Вход'!D24</f>
        <v>1</v>
      </c>
      <c r="K11" s="20">
        <v>1</v>
      </c>
      <c r="L11" s="24">
        <f>'[1]Бланк-Вход'!H24</f>
        <v>1100</v>
      </c>
      <c r="M11" s="24"/>
      <c r="N11" s="25">
        <f>L11*J11*30.4/2</f>
        <v>16720</v>
      </c>
    </row>
    <row r="12" spans="2:14" x14ac:dyDescent="0.3">
      <c r="B12" s="20">
        <v>8</v>
      </c>
      <c r="C12" s="21" t="s">
        <v>30</v>
      </c>
      <c r="D12" s="22" t="s">
        <v>19</v>
      </c>
      <c r="E12" s="20">
        <v>2</v>
      </c>
      <c r="F12" s="20">
        <v>2</v>
      </c>
      <c r="G12" s="20">
        <v>12</v>
      </c>
      <c r="H12" s="22" t="s">
        <v>22</v>
      </c>
      <c r="I12" s="23" t="s">
        <v>24</v>
      </c>
      <c r="J12" s="20">
        <f>'[1]Бланк-Вход'!D25</f>
        <v>1</v>
      </c>
      <c r="K12" s="20">
        <f t="shared" si="0"/>
        <v>2</v>
      </c>
      <c r="L12" s="24">
        <f>'[1]Бланк-Вход'!H25</f>
        <v>2200</v>
      </c>
      <c r="M12" s="24"/>
      <c r="N12" s="25">
        <f t="shared" si="1"/>
        <v>66880</v>
      </c>
    </row>
    <row r="13" spans="2:14" x14ac:dyDescent="0.3">
      <c r="B13" s="20">
        <v>9</v>
      </c>
      <c r="C13" s="21" t="s">
        <v>30</v>
      </c>
      <c r="D13" s="22" t="s">
        <v>19</v>
      </c>
      <c r="E13" s="20">
        <v>2</v>
      </c>
      <c r="F13" s="20">
        <v>2</v>
      </c>
      <c r="G13" s="20">
        <v>12</v>
      </c>
      <c r="H13" s="22" t="s">
        <v>22</v>
      </c>
      <c r="I13" s="23" t="s">
        <v>24</v>
      </c>
      <c r="J13" s="20">
        <f>'[1]Бланк-Вход'!D26</f>
        <v>1</v>
      </c>
      <c r="K13" s="20">
        <v>1</v>
      </c>
      <c r="L13" s="24">
        <f>'[1]Бланк-Вход'!H26</f>
        <v>1100</v>
      </c>
      <c r="M13" s="24"/>
      <c r="N13" s="25">
        <f>N11</f>
        <v>16720</v>
      </c>
    </row>
    <row r="14" spans="2:14" x14ac:dyDescent="0.3">
      <c r="B14" s="20">
        <v>10</v>
      </c>
      <c r="C14" s="21" t="s">
        <v>35</v>
      </c>
      <c r="D14" s="22" t="s">
        <v>19</v>
      </c>
      <c r="E14" s="20">
        <v>2</v>
      </c>
      <c r="F14" s="20">
        <v>2</v>
      </c>
      <c r="G14" s="20">
        <v>12</v>
      </c>
      <c r="H14" s="22" t="s">
        <v>22</v>
      </c>
      <c r="I14" s="23" t="s">
        <v>23</v>
      </c>
      <c r="J14" s="20">
        <f>'[1]Бланк-Вход'!D27</f>
        <v>2</v>
      </c>
      <c r="K14" s="20">
        <f t="shared" si="0"/>
        <v>4</v>
      </c>
      <c r="L14" s="24">
        <f>'[1]Бланк-Вход'!H27</f>
        <v>2200</v>
      </c>
      <c r="M14" s="24"/>
      <c r="N14" s="25">
        <f t="shared" si="1"/>
        <v>133760</v>
      </c>
    </row>
    <row r="15" spans="2:14" x14ac:dyDescent="0.3">
      <c r="B15" s="20"/>
      <c r="C15" s="26"/>
      <c r="D15" s="22"/>
      <c r="E15" s="20"/>
      <c r="F15" s="20"/>
      <c r="G15" s="20"/>
      <c r="H15" s="22"/>
      <c r="I15" s="22"/>
      <c r="J15" s="20"/>
      <c r="K15" s="20">
        <f t="shared" ref="K15" si="2">IF(E15=5,J15,IF(E15=2,J15*2,IF(E15=6,J15,IF(E15=1,J15*3,0))))</f>
        <v>0</v>
      </c>
      <c r="L15" s="24"/>
      <c r="M15" s="24"/>
      <c r="N15" s="27">
        <f t="shared" ref="N15" si="3">K15*L15+K15*M15</f>
        <v>0</v>
      </c>
    </row>
    <row r="16" spans="2:14" x14ac:dyDescent="0.3">
      <c r="B16" s="28"/>
      <c r="C16" s="29"/>
      <c r="D16" s="28"/>
      <c r="E16" s="28"/>
      <c r="F16" s="28"/>
      <c r="G16" s="28"/>
      <c r="H16" s="28"/>
      <c r="I16" s="28"/>
      <c r="J16" s="28"/>
      <c r="K16" s="28">
        <f>SUM(K5:K15)</f>
        <v>21</v>
      </c>
      <c r="L16" s="30">
        <f>SUMPRODUCT(L5:L15,K5:K15)</f>
        <v>42400</v>
      </c>
      <c r="M16" s="30">
        <f>SUMPRODUCT(M5:M15,K5:K15)</f>
        <v>56000</v>
      </c>
      <c r="N16" s="31">
        <f>SUM(N5:N15)</f>
        <v>700480</v>
      </c>
    </row>
    <row r="17" spans="2:14" x14ac:dyDescent="0.3">
      <c r="B17" s="3"/>
    </row>
    <row r="18" spans="2:14" s="3" customFormat="1" x14ac:dyDescent="0.3">
      <c r="B18" s="13"/>
      <c r="C18" s="18" t="s">
        <v>25</v>
      </c>
      <c r="D18" s="13"/>
      <c r="E18" s="13"/>
      <c r="F18" s="13"/>
      <c r="G18" s="13"/>
      <c r="H18" s="14"/>
      <c r="I18" s="19"/>
      <c r="J18" s="15"/>
      <c r="K18" s="16"/>
      <c r="L18" s="17"/>
      <c r="M18" s="17"/>
      <c r="N18" s="17"/>
    </row>
    <row r="19" spans="2:14" x14ac:dyDescent="0.3">
      <c r="B19" s="20">
        <v>1</v>
      </c>
      <c r="C19" s="21" t="s">
        <v>29</v>
      </c>
      <c r="D19" s="22" t="s">
        <v>26</v>
      </c>
      <c r="E19" s="20">
        <v>5</v>
      </c>
      <c r="F19" s="20">
        <v>2</v>
      </c>
      <c r="G19" s="20">
        <v>5</v>
      </c>
      <c r="H19" s="22" t="s">
        <v>20</v>
      </c>
      <c r="I19" s="23" t="s">
        <v>21</v>
      </c>
      <c r="J19" s="20">
        <f>'[1]Бланк-Вход'!D45</f>
        <v>1</v>
      </c>
      <c r="K19" s="20">
        <f>IF(E19=5,J19,IF(E19=2,J19*2,IF(E19=6,J19,IF(E19=1*(F19=3),J19*4,IF(E19=1*(F19=2),J19*3,0)))))</f>
        <v>1</v>
      </c>
      <c r="L19" s="24"/>
      <c r="M19" s="24">
        <f>'[1]Бланк-Вход'!H45</f>
        <v>56000</v>
      </c>
      <c r="N19" s="25">
        <f>M19*J19</f>
        <v>56000</v>
      </c>
    </row>
    <row r="20" spans="2:14" x14ac:dyDescent="0.3">
      <c r="B20" s="20">
        <v>2</v>
      </c>
      <c r="C20" s="21" t="s">
        <v>36</v>
      </c>
      <c r="D20" s="22" t="s">
        <v>26</v>
      </c>
      <c r="E20" s="20">
        <v>2</v>
      </c>
      <c r="F20" s="20">
        <v>2</v>
      </c>
      <c r="G20" s="20">
        <v>12</v>
      </c>
      <c r="H20" s="22" t="s">
        <v>22</v>
      </c>
      <c r="I20" s="23" t="s">
        <v>23</v>
      </c>
      <c r="J20" s="20">
        <f>'[1]Бланк-Вход'!D46</f>
        <v>1</v>
      </c>
      <c r="K20" s="20">
        <f t="shared" ref="K20:K29" si="4">IF(E20=5,J20,IF(E20=2,J20*2,IF(E20=6,J20,IF(E20=1*(F20=3),J20*4,IF(E20=1*(F20=2),J20*3,0)))))</f>
        <v>2</v>
      </c>
      <c r="L20" s="24">
        <f>'[1]Бланк-Вход'!H46</f>
        <v>2250</v>
      </c>
      <c r="M20" s="24"/>
      <c r="N20" s="25">
        <f>L20*J20*30.4</f>
        <v>68400</v>
      </c>
    </row>
    <row r="21" spans="2:14" x14ac:dyDescent="0.3">
      <c r="B21" s="20">
        <v>3</v>
      </c>
      <c r="C21" s="21" t="s">
        <v>30</v>
      </c>
      <c r="D21" s="22" t="s">
        <v>26</v>
      </c>
      <c r="E21" s="20">
        <v>2</v>
      </c>
      <c r="F21" s="20">
        <v>2</v>
      </c>
      <c r="G21" s="20">
        <v>12</v>
      </c>
      <c r="H21" s="22" t="s">
        <v>22</v>
      </c>
      <c r="I21" s="23" t="s">
        <v>23</v>
      </c>
      <c r="J21" s="20">
        <f>'[1]Бланк-Вход'!D47</f>
        <v>2</v>
      </c>
      <c r="K21" s="20">
        <f t="shared" si="4"/>
        <v>4</v>
      </c>
      <c r="L21" s="24">
        <f>'[1]Бланк-Вход'!H47</f>
        <v>2200</v>
      </c>
      <c r="M21" s="24"/>
      <c r="N21" s="25">
        <f t="shared" ref="N21:N31" si="5">L21*J21*30.4</f>
        <v>133760</v>
      </c>
    </row>
    <row r="22" spans="2:14" x14ac:dyDescent="0.3">
      <c r="B22" s="20">
        <v>4</v>
      </c>
      <c r="C22" s="21" t="s">
        <v>31</v>
      </c>
      <c r="D22" s="22" t="s">
        <v>26</v>
      </c>
      <c r="E22" s="20">
        <v>2</v>
      </c>
      <c r="F22" s="20">
        <v>2</v>
      </c>
      <c r="G22" s="20">
        <v>12</v>
      </c>
      <c r="H22" s="22" t="s">
        <v>22</v>
      </c>
      <c r="I22" s="23" t="s">
        <v>23</v>
      </c>
      <c r="J22" s="20">
        <f>'[1]Бланк-Вход'!D48</f>
        <v>1</v>
      </c>
      <c r="K22" s="20">
        <f t="shared" si="4"/>
        <v>2</v>
      </c>
      <c r="L22" s="24">
        <f>'[1]Бланк-Вход'!H48</f>
        <v>2450</v>
      </c>
      <c r="M22" s="24"/>
      <c r="N22" s="25">
        <f t="shared" si="5"/>
        <v>74480</v>
      </c>
    </row>
    <row r="23" spans="2:14" x14ac:dyDescent="0.3">
      <c r="B23" s="20">
        <v>5</v>
      </c>
      <c r="C23" s="21" t="s">
        <v>32</v>
      </c>
      <c r="D23" s="22" t="s">
        <v>26</v>
      </c>
      <c r="E23" s="20">
        <v>2</v>
      </c>
      <c r="F23" s="20">
        <v>2</v>
      </c>
      <c r="G23" s="20">
        <v>12</v>
      </c>
      <c r="H23" s="22" t="s">
        <v>22</v>
      </c>
      <c r="I23" s="23" t="s">
        <v>23</v>
      </c>
      <c r="J23" s="20">
        <f>'[1]Бланк-Вход'!D49</f>
        <v>1</v>
      </c>
      <c r="K23" s="20">
        <f t="shared" si="4"/>
        <v>2</v>
      </c>
      <c r="L23" s="24">
        <f>'[1]Бланк-Вход'!H49</f>
        <v>2200</v>
      </c>
      <c r="M23" s="24"/>
      <c r="N23" s="25">
        <f t="shared" si="5"/>
        <v>66880</v>
      </c>
    </row>
    <row r="24" spans="2:14" x14ac:dyDescent="0.3">
      <c r="B24" s="20">
        <v>6</v>
      </c>
      <c r="C24" s="21" t="s">
        <v>34</v>
      </c>
      <c r="D24" s="22" t="s">
        <v>26</v>
      </c>
      <c r="E24" s="20">
        <v>2</v>
      </c>
      <c r="F24" s="20">
        <v>2</v>
      </c>
      <c r="G24" s="20">
        <v>12</v>
      </c>
      <c r="H24" s="22" t="s">
        <v>22</v>
      </c>
      <c r="I24" s="23" t="s">
        <v>23</v>
      </c>
      <c r="J24" s="20">
        <f>'[1]Бланк-Вход'!D50</f>
        <v>1</v>
      </c>
      <c r="K24" s="20">
        <f t="shared" si="4"/>
        <v>2</v>
      </c>
      <c r="L24" s="24">
        <f>'[1]Бланк-Вход'!H50</f>
        <v>916.66666666666674</v>
      </c>
      <c r="M24" s="24"/>
      <c r="N24" s="25">
        <f>L24*J24*15.2</f>
        <v>13933.333333333334</v>
      </c>
    </row>
    <row r="25" spans="2:14" x14ac:dyDescent="0.3">
      <c r="B25" s="20">
        <v>7</v>
      </c>
      <c r="C25" s="21" t="s">
        <v>30</v>
      </c>
      <c r="D25" s="22" t="s">
        <v>26</v>
      </c>
      <c r="E25" s="20">
        <v>2</v>
      </c>
      <c r="F25" s="20">
        <v>2</v>
      </c>
      <c r="G25" s="20">
        <v>12</v>
      </c>
      <c r="H25" s="22" t="s">
        <v>22</v>
      </c>
      <c r="I25" s="23" t="s">
        <v>23</v>
      </c>
      <c r="J25" s="20">
        <f>'[1]Бланк-Вход'!D51</f>
        <v>1</v>
      </c>
      <c r="K25" s="20">
        <f t="shared" si="4"/>
        <v>2</v>
      </c>
      <c r="L25" s="24">
        <f>'[1]Бланк-Вход'!H51</f>
        <v>2200</v>
      </c>
      <c r="M25" s="24"/>
      <c r="N25" s="25">
        <f t="shared" si="5"/>
        <v>66880</v>
      </c>
    </row>
    <row r="26" spans="2:14" x14ac:dyDescent="0.3">
      <c r="B26" s="20">
        <v>8</v>
      </c>
      <c r="C26" s="21" t="s">
        <v>30</v>
      </c>
      <c r="D26" s="22" t="s">
        <v>26</v>
      </c>
      <c r="E26" s="20">
        <v>2</v>
      </c>
      <c r="F26" s="20">
        <v>2</v>
      </c>
      <c r="G26" s="20">
        <v>12</v>
      </c>
      <c r="H26" s="22" t="s">
        <v>22</v>
      </c>
      <c r="I26" s="23" t="s">
        <v>24</v>
      </c>
      <c r="J26" s="20">
        <f>'[1]Бланк-Вход'!D52</f>
        <v>1</v>
      </c>
      <c r="K26" s="20">
        <f t="shared" si="4"/>
        <v>2</v>
      </c>
      <c r="L26" s="24">
        <f>'[1]Бланк-Вход'!H52</f>
        <v>2200</v>
      </c>
      <c r="M26" s="24"/>
      <c r="N26" s="25">
        <f t="shared" si="5"/>
        <v>66880</v>
      </c>
    </row>
    <row r="27" spans="2:14" x14ac:dyDescent="0.3">
      <c r="B27" s="20">
        <v>9</v>
      </c>
      <c r="C27" s="21" t="s">
        <v>37</v>
      </c>
      <c r="D27" s="22" t="s">
        <v>26</v>
      </c>
      <c r="E27" s="20">
        <v>2</v>
      </c>
      <c r="F27" s="20">
        <v>2</v>
      </c>
      <c r="G27" s="20">
        <v>12</v>
      </c>
      <c r="H27" s="22" t="s">
        <v>22</v>
      </c>
      <c r="I27" s="23" t="s">
        <v>24</v>
      </c>
      <c r="J27" s="20">
        <f>'[1]Бланк-Вход'!D53</f>
        <v>2</v>
      </c>
      <c r="K27" s="20">
        <f t="shared" si="4"/>
        <v>4</v>
      </c>
      <c r="L27" s="24">
        <f>'[1]Бланк-Вход'!H53</f>
        <v>2200</v>
      </c>
      <c r="M27" s="24"/>
      <c r="N27" s="25">
        <f t="shared" si="5"/>
        <v>133760</v>
      </c>
    </row>
    <row r="28" spans="2:14" x14ac:dyDescent="0.3">
      <c r="B28" s="20">
        <v>10</v>
      </c>
      <c r="C28" s="21" t="s">
        <v>30</v>
      </c>
      <c r="D28" s="22" t="s">
        <v>26</v>
      </c>
      <c r="E28" s="20">
        <v>2</v>
      </c>
      <c r="F28" s="20">
        <v>2</v>
      </c>
      <c r="G28" s="20">
        <v>12</v>
      </c>
      <c r="H28" s="22" t="s">
        <v>22</v>
      </c>
      <c r="I28" s="23" t="s">
        <v>23</v>
      </c>
      <c r="J28" s="20">
        <f>'[1]Бланк-Вход'!D54</f>
        <v>1</v>
      </c>
      <c r="K28" s="20">
        <f t="shared" si="4"/>
        <v>2</v>
      </c>
      <c r="L28" s="24">
        <f>'[1]Бланк-Вход'!H54</f>
        <v>2500</v>
      </c>
      <c r="M28" s="24"/>
      <c r="N28" s="25">
        <f t="shared" si="5"/>
        <v>76000</v>
      </c>
    </row>
    <row r="29" spans="2:14" x14ac:dyDescent="0.3">
      <c r="B29" s="20">
        <v>11</v>
      </c>
      <c r="C29" s="21" t="s">
        <v>38</v>
      </c>
      <c r="D29" s="22" t="s">
        <v>26</v>
      </c>
      <c r="E29" s="20">
        <v>2</v>
      </c>
      <c r="F29" s="20">
        <v>2</v>
      </c>
      <c r="G29" s="20">
        <v>12</v>
      </c>
      <c r="H29" s="22" t="s">
        <v>22</v>
      </c>
      <c r="I29" s="23" t="s">
        <v>24</v>
      </c>
      <c r="J29" s="20">
        <f>'[1]Бланк-Вход'!D55</f>
        <v>1</v>
      </c>
      <c r="K29" s="20">
        <f t="shared" si="4"/>
        <v>2</v>
      </c>
      <c r="L29" s="24">
        <f>'[1]Бланк-Вход'!H55</f>
        <v>2200</v>
      </c>
      <c r="M29" s="24"/>
      <c r="N29" s="25">
        <f t="shared" si="5"/>
        <v>66880</v>
      </c>
    </row>
    <row r="30" spans="2:14" x14ac:dyDescent="0.3">
      <c r="B30" s="20">
        <v>12</v>
      </c>
      <c r="C30" s="21" t="s">
        <v>31</v>
      </c>
      <c r="D30" s="22" t="s">
        <v>26</v>
      </c>
      <c r="E30" s="20">
        <v>2</v>
      </c>
      <c r="F30" s="20">
        <v>2</v>
      </c>
      <c r="G30" s="20">
        <v>12</v>
      </c>
      <c r="H30" s="22" t="s">
        <v>22</v>
      </c>
      <c r="I30" s="23" t="s">
        <v>27</v>
      </c>
      <c r="J30" s="20">
        <f>'[1]Бланк-Вход'!D56</f>
        <v>1</v>
      </c>
      <c r="K30" s="20">
        <v>1</v>
      </c>
      <c r="L30" s="24">
        <f>'[1]Бланк-Вход'!H56</f>
        <v>2200</v>
      </c>
      <c r="M30" s="24"/>
      <c r="N30" s="25">
        <f>L30*J30*10</f>
        <v>22000</v>
      </c>
    </row>
    <row r="31" spans="2:14" x14ac:dyDescent="0.3">
      <c r="B31" s="20">
        <v>13</v>
      </c>
      <c r="C31" s="21" t="s">
        <v>39</v>
      </c>
      <c r="D31" s="22" t="s">
        <v>26</v>
      </c>
      <c r="E31" s="20">
        <v>2</v>
      </c>
      <c r="F31" s="20">
        <v>2</v>
      </c>
      <c r="G31" s="20">
        <v>12</v>
      </c>
      <c r="H31" s="22" t="s">
        <v>22</v>
      </c>
      <c r="I31" s="23" t="s">
        <v>28</v>
      </c>
      <c r="J31" s="20">
        <f>'[1]Бланк-Вход'!D57</f>
        <v>1</v>
      </c>
      <c r="K31" s="20">
        <f t="shared" ref="K31" si="6">IF(E31=5,J31,IF(E31=2,J31*2,IF(E31=6,J31,IF(E31=1*(F31=3),J31*4,IF(E31=1*(F31=2),J31*3,0)))))</f>
        <v>2</v>
      </c>
      <c r="L31" s="24">
        <f>'[1]Бланк-Вход'!H57</f>
        <v>3500</v>
      </c>
      <c r="M31" s="24"/>
      <c r="N31" s="25">
        <f t="shared" si="5"/>
        <v>106400</v>
      </c>
    </row>
    <row r="32" spans="2:14" x14ac:dyDescent="0.3">
      <c r="B32" s="20"/>
      <c r="C32" s="26"/>
      <c r="D32" s="22"/>
      <c r="E32" s="20"/>
      <c r="F32" s="20"/>
      <c r="G32" s="20"/>
      <c r="H32" s="22"/>
      <c r="I32" s="22"/>
      <c r="J32" s="20"/>
      <c r="K32" s="20">
        <f t="shared" ref="K32" si="7">IF(E32=5,J32,IF(E32=2,J32*2,IF(E32=6,J32,IF(E32=1,J32*3,0))))</f>
        <v>0</v>
      </c>
      <c r="L32" s="24"/>
      <c r="M32" s="24"/>
      <c r="N32" s="27">
        <f t="shared" ref="N32" si="8">K32*L32+K32*M32</f>
        <v>0</v>
      </c>
    </row>
    <row r="33" spans="2:14" x14ac:dyDescent="0.3">
      <c r="B33" s="28"/>
      <c r="C33" s="29"/>
      <c r="D33" s="28"/>
      <c r="E33" s="28"/>
      <c r="F33" s="28"/>
      <c r="G33" s="28"/>
      <c r="H33" s="28"/>
      <c r="I33" s="28"/>
      <c r="J33" s="28"/>
      <c r="K33" s="28">
        <f>SUM(K19:K32)</f>
        <v>28</v>
      </c>
      <c r="L33" s="30">
        <f>SUMPRODUCT(L19:L32,K19:K32)</f>
        <v>60633.333333333328</v>
      </c>
      <c r="M33" s="30">
        <f>SUMPRODUCT(M19:M32,K19:K32)</f>
        <v>56000</v>
      </c>
      <c r="N33" s="31">
        <f>SUM(N19:N32)</f>
        <v>952253.33333333326</v>
      </c>
    </row>
    <row r="34" spans="2:14" x14ac:dyDescent="0.3">
      <c r="B34" s="2"/>
      <c r="C34" s="2"/>
      <c r="D34" s="2"/>
      <c r="E34" s="34"/>
      <c r="F34" s="34"/>
      <c r="G34" s="34"/>
      <c r="H34" s="3"/>
      <c r="I34" s="3"/>
      <c r="J34" s="2"/>
      <c r="K34" s="2"/>
      <c r="L34" s="35"/>
      <c r="M34" s="35"/>
      <c r="N34" s="36"/>
    </row>
  </sheetData>
  <mergeCells count="11">
    <mergeCell ref="B34:D34"/>
    <mergeCell ref="E34:G34"/>
    <mergeCell ref="J34:K34"/>
    <mergeCell ref="J2:K2"/>
    <mergeCell ref="L2:M2"/>
    <mergeCell ref="B2:B3"/>
    <mergeCell ref="C2:C3"/>
    <mergeCell ref="D2:D3"/>
    <mergeCell ref="E2:F2"/>
    <mergeCell ref="G2:G3"/>
    <mergeCell ref="H2:I2"/>
  </mergeCells>
  <dataValidations count="4">
    <dataValidation type="list" allowBlank="1" showInputMessage="1" showErrorMessage="1" sqref="D5:D15 D19:D32" xr:uid="{88B500B9-9541-44E2-B034-1C13B1E83B75}">
      <formula1>"ЗИМА,ЛЕТО"</formula1>
    </dataValidation>
    <dataValidation type="list" allowBlank="1" showInputMessage="1" showErrorMessage="1" sqref="E19:F32 E5:F15" xr:uid="{BFB333E6-4380-4D31-A2F2-9B0C40338FFD}">
      <formula1>"1,2,3,4,5,6,7"</formula1>
    </dataValidation>
    <dataValidation type="list" allowBlank="1" showInputMessage="1" showErrorMessage="1" sqref="G19:G32 G5:G15" xr:uid="{C34910FF-1CBB-4484-BC4E-0B513F2F052B}">
      <formula1>"1,2,3,4,5,6,7,8,9,10,11,12,13,14,15,16,17,18,19,20,21,22,23,24"</formula1>
    </dataValidation>
    <dataValidation allowBlank="1" showErrorMessage="1" sqref="J5:J14 C5:C14 C19:C31 J19:J31" xr:uid="{5BA446E4-1B0D-4F80-A22A-C49BC1B32C9B}"/>
  </dataValidations>
  <pageMargins left="0.25" right="0.25" top="0.75" bottom="0.75" header="0.3" footer="0.3"/>
  <pageSetup scale="4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Штатное расписание</vt:lpstr>
      <vt:lpstr>'Штатное расписание'!Область_печати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Панфилов Сергей Владимирович</dc:creator>
  <cp:lastModifiedBy>Панфилов Сергей Владимирович</cp:lastModifiedBy>
  <dcterms:created xsi:type="dcterms:W3CDTF">2025-08-22T11:19:23Z</dcterms:created>
  <dcterms:modified xsi:type="dcterms:W3CDTF">2025-08-24T18:25:58Z</dcterms:modified>
</cp:coreProperties>
</file>